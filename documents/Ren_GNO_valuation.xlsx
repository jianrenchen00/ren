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nr\Documents\"/>
    </mc:Choice>
  </mc:AlternateContent>
  <xr:revisionPtr revIDLastSave="0" documentId="13_ncr:1_{A5625689-4041-402E-B6DD-453C7A75ADB0}" xr6:coauthVersionLast="47" xr6:coauthVersionMax="47" xr10:uidLastSave="{00000000-0000-0000-0000-000000000000}"/>
  <bookViews>
    <workbookView xWindow="38280" yWindow="1335" windowWidth="29040" windowHeight="15720" xr2:uid="{FE8B76B9-AF85-48E9-AE06-A6078443AB1C}"/>
  </bookViews>
  <sheets>
    <sheet name="Valuation" sheetId="3" r:id="rId1"/>
    <sheet name="PF Ratio Comparables" sheetId="4" r:id="rId2"/>
    <sheet name="3 Factors regression" sheetId="10" r:id="rId3"/>
    <sheet name="Token termin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4" l="1"/>
  <c r="I16" i="4"/>
  <c r="C24" i="4"/>
  <c r="G100" i="3"/>
  <c r="V19" i="3"/>
  <c r="V20" i="3"/>
  <c r="V13" i="3"/>
  <c r="V14" i="3"/>
  <c r="V8" i="3"/>
  <c r="V7" i="3"/>
  <c r="C47" i="3" s="1"/>
  <c r="V6" i="3"/>
  <c r="D80" i="3"/>
  <c r="D81" i="3"/>
  <c r="D82" i="3"/>
  <c r="D79" i="3"/>
  <c r="F82" i="3"/>
  <c r="F80" i="3"/>
  <c r="F81" i="3"/>
  <c r="F79" i="3"/>
  <c r="F73" i="3"/>
  <c r="F74" i="3"/>
  <c r="F72" i="3"/>
  <c r="D72" i="3"/>
  <c r="D73" i="3"/>
  <c r="D74" i="3"/>
  <c r="I6" i="3"/>
  <c r="V9" i="3" l="1"/>
  <c r="C46" i="3"/>
  <c r="D46" i="3" s="1"/>
  <c r="D47" i="3" s="1"/>
  <c r="D89" i="3"/>
  <c r="D88" i="3"/>
  <c r="D87" i="3"/>
  <c r="F87" i="3"/>
  <c r="F88" i="3"/>
  <c r="D83" i="3"/>
  <c r="F83" i="3"/>
  <c r="F89" i="3"/>
  <c r="D76" i="3"/>
  <c r="F76" i="3"/>
  <c r="I8" i="3"/>
  <c r="I9" i="3"/>
  <c r="I11" i="3" l="1"/>
  <c r="E98" i="3"/>
  <c r="D90" i="3"/>
  <c r="F90" i="3"/>
  <c r="C48" i="3"/>
  <c r="D48" i="3" s="1"/>
  <c r="G98" i="3" l="1"/>
  <c r="E99" i="3"/>
  <c r="G99" i="3" l="1"/>
  <c r="E100" i="3"/>
  <c r="I4" i="3"/>
  <c r="I18" i="3" l="1"/>
  <c r="I22" i="3" s="1"/>
  <c r="C98" i="3"/>
  <c r="C99" i="3" s="1"/>
  <c r="C100" i="3" s="1"/>
  <c r="C102" i="3" s="1"/>
  <c r="I19" i="3"/>
  <c r="I24" i="3" l="1"/>
  <c r="I25" i="3"/>
  <c r="I23" i="3"/>
  <c r="C103" i="3"/>
</calcChain>
</file>

<file path=xl/sharedStrings.xml><?xml version="1.0" encoding="utf-8"?>
<sst xmlns="http://schemas.openxmlformats.org/spreadsheetml/2006/main" count="559" uniqueCount="415">
  <si>
    <t xml:space="preserve">Ethereum </t>
  </si>
  <si>
    <t xml:space="preserve">BSC </t>
  </si>
  <si>
    <t xml:space="preserve">Tron </t>
  </si>
  <si>
    <t xml:space="preserve">Polygon </t>
  </si>
  <si>
    <t>Avalanche</t>
  </si>
  <si>
    <t xml:space="preserve">Arbitrum </t>
  </si>
  <si>
    <t xml:space="preserve">Optimism </t>
  </si>
  <si>
    <t>Fantom</t>
  </si>
  <si>
    <t>Solana</t>
  </si>
  <si>
    <t>PF circulating</t>
  </si>
  <si>
    <t>PF Fully diluted</t>
  </si>
  <si>
    <t>Annualized Fee</t>
  </si>
  <si>
    <t>Circulating Maket Cap</t>
  </si>
  <si>
    <t>PS-fully diluted</t>
  </si>
  <si>
    <t>Polkadot</t>
  </si>
  <si>
    <t>Fully diluted Market Cap</t>
  </si>
  <si>
    <t xml:space="preserve">PS circulating </t>
  </si>
  <si>
    <t xml:space="preserve">Circulating supply </t>
  </si>
  <si>
    <t xml:space="preserve">Total supply </t>
  </si>
  <si>
    <t xml:space="preserve">Average </t>
  </si>
  <si>
    <t>Market Cap (12)</t>
  </si>
  <si>
    <t>Market Cap (24/2)</t>
  </si>
  <si>
    <t>Price of the token(12)</t>
  </si>
  <si>
    <t>Price of the token(24/2)</t>
  </si>
  <si>
    <t>Diluted Price of GNO(24/2)</t>
  </si>
  <si>
    <t>Diluted Price of GNO(12)</t>
  </si>
  <si>
    <t>Layer 1</t>
  </si>
  <si>
    <t>Token Terminal Master Excel SAMPLE DATA</t>
  </si>
  <si>
    <t>Price &amp; Market cap</t>
  </si>
  <si>
    <t xml:space="preserve">Total Value Locked (TVL) </t>
  </si>
  <si>
    <t>GMV</t>
  </si>
  <si>
    <t>Total revenue</t>
  </si>
  <si>
    <t>Protocol revenue</t>
  </si>
  <si>
    <t>Price to sales (P/S) ratio</t>
  </si>
  <si>
    <t>Twitter</t>
  </si>
  <si>
    <t>Project</t>
  </si>
  <si>
    <t>Symbol</t>
  </si>
  <si>
    <t>Launch date</t>
  </si>
  <si>
    <t>Category tags</t>
  </si>
  <si>
    <t xml:space="preserve">Price latest </t>
  </si>
  <si>
    <t xml:space="preserve">24h change </t>
  </si>
  <si>
    <t xml:space="preserve">7d change </t>
  </si>
  <si>
    <t xml:space="preserve">30d change </t>
  </si>
  <si>
    <t xml:space="preserve">90d change </t>
  </si>
  <si>
    <t xml:space="preserve">180d change </t>
  </si>
  <si>
    <t xml:space="preserve">ATH </t>
  </si>
  <si>
    <t xml:space="preserve">ATL </t>
  </si>
  <si>
    <t xml:space="preserve">Volume 24h </t>
  </si>
  <si>
    <t xml:space="preserve">Circulating market cap latest </t>
  </si>
  <si>
    <t xml:space="preserve">Fully-diluted market cap latest </t>
  </si>
  <si>
    <t xml:space="preserve">Volume / MC ratio </t>
  </si>
  <si>
    <t xml:space="preserve">TVL latest </t>
  </si>
  <si>
    <t xml:space="preserve">7d avg. TVL </t>
  </si>
  <si>
    <t xml:space="preserve">30d avg. TVL </t>
  </si>
  <si>
    <t xml:space="preserve">90d avg. TVL </t>
  </si>
  <si>
    <t xml:space="preserve">180d avg. TVL </t>
  </si>
  <si>
    <t xml:space="preserve">Annualized GMV </t>
  </si>
  <si>
    <t xml:space="preserve">7d total revenue </t>
  </si>
  <si>
    <t xml:space="preserve">30d total revenue </t>
  </si>
  <si>
    <t xml:space="preserve">90d total revenue </t>
  </si>
  <si>
    <t xml:space="preserve">180d total revenue </t>
  </si>
  <si>
    <t xml:space="preserve">7d protocol revenue </t>
  </si>
  <si>
    <t xml:space="preserve">30d protocol revenue </t>
  </si>
  <si>
    <t xml:space="preserve">90d protocol revenue </t>
  </si>
  <si>
    <t xml:space="preserve">180d protocol revenue </t>
  </si>
  <si>
    <t xml:space="preserve">P/S ratio latest </t>
  </si>
  <si>
    <t xml:space="preserve">7d avg. P/S ratio </t>
  </si>
  <si>
    <t xml:space="preserve">30d avg. P/S ratio </t>
  </si>
  <si>
    <t xml:space="preserve">90d avg. P/S ratio </t>
  </si>
  <si>
    <t xml:space="preserve">180d avg. P/S ratio </t>
  </si>
  <si>
    <t>Twitter followers latest</t>
  </si>
  <si>
    <t>0x</t>
  </si>
  <si>
    <t>ZRX</t>
  </si>
  <si>
    <t>2017-08-15</t>
  </si>
  <si>
    <t>DeFi Exchange</t>
  </si>
  <si>
    <t>88mph</t>
  </si>
  <si>
    <t>MPH</t>
  </si>
  <si>
    <t>2019-10-10</t>
  </si>
  <si>
    <t>DeFi Lending</t>
  </si>
  <si>
    <t>Aave</t>
  </si>
  <si>
    <t>AAVE</t>
  </si>
  <si>
    <t>2017-11-25</t>
  </si>
  <si>
    <t>Alchemix Finance</t>
  </si>
  <si>
    <t>ALCX</t>
  </si>
  <si>
    <t>2021-01-22</t>
  </si>
  <si>
    <t>Asset Management DeFi Lending Stablecoin</t>
  </si>
  <si>
    <t>Autofarm</t>
  </si>
  <si>
    <t>AUTO</t>
  </si>
  <si>
    <t>2020-04-23</t>
  </si>
  <si>
    <t>Asset Management DeFi</t>
  </si>
  <si>
    <t>Balancer</t>
  </si>
  <si>
    <t>BAL</t>
  </si>
  <si>
    <t>2020-06-20</t>
  </si>
  <si>
    <t>Bancor</t>
  </si>
  <si>
    <t>BNT</t>
  </si>
  <si>
    <t>2017-09-21</t>
  </si>
  <si>
    <t>Barnbridge</t>
  </si>
  <si>
    <t>BOND</t>
  </si>
  <si>
    <t>2020-04-22</t>
  </si>
  <si>
    <t>Basket DAO</t>
  </si>
  <si>
    <t>BASK</t>
  </si>
  <si>
    <t>2021-03-23</t>
  </si>
  <si>
    <t>Binance Chain</t>
  </si>
  <si>
    <t>BNB</t>
  </si>
  <si>
    <t>2020-09-10</t>
  </si>
  <si>
    <t>Blockchain</t>
  </si>
  <si>
    <t>Bitcoin</t>
  </si>
  <si>
    <t>BTC</t>
  </si>
  <si>
    <t>2009-01-03</t>
  </si>
  <si>
    <t>Centrifuge</t>
  </si>
  <si>
    <t>CFG</t>
  </si>
  <si>
    <t>2020-05-20</t>
  </si>
  <si>
    <t>Compound</t>
  </si>
  <si>
    <t>COMP</t>
  </si>
  <si>
    <t>2018-09-27</t>
  </si>
  <si>
    <t>Cream</t>
  </si>
  <si>
    <t>CREAM</t>
  </si>
  <si>
    <t>2020-09-29</t>
  </si>
  <si>
    <t>Curve</t>
  </si>
  <si>
    <t>CRV</t>
  </si>
  <si>
    <t>2020-01-21</t>
  </si>
  <si>
    <t>Decred</t>
  </si>
  <si>
    <t>DCR</t>
  </si>
  <si>
    <t>2016-02-08</t>
  </si>
  <si>
    <t>dHedge</t>
  </si>
  <si>
    <t>DHT</t>
  </si>
  <si>
    <t>2020-06-17</t>
  </si>
  <si>
    <t>DODO</t>
  </si>
  <si>
    <t>Dogecoin</t>
  </si>
  <si>
    <t>DOGE</t>
  </si>
  <si>
    <t>2013-12-06</t>
  </si>
  <si>
    <t>dYdX</t>
  </si>
  <si>
    <t/>
  </si>
  <si>
    <t>2018-10-03</t>
  </si>
  <si>
    <t>Ellipsis Finance</t>
  </si>
  <si>
    <t>EPS</t>
  </si>
  <si>
    <t>2021-03-14</t>
  </si>
  <si>
    <t>Enzyme Finance</t>
  </si>
  <si>
    <t>MLN</t>
  </si>
  <si>
    <t>2016-08-01</t>
  </si>
  <si>
    <t>Erasure Protocol</t>
  </si>
  <si>
    <t>NMR</t>
  </si>
  <si>
    <t>2015-12-16</t>
  </si>
  <si>
    <t>DeFi Prediction Market Other</t>
  </si>
  <si>
    <t>Ethereum</t>
  </si>
  <si>
    <t>ETH</t>
  </si>
  <si>
    <t>2015-07-30</t>
  </si>
  <si>
    <t>Fei Protocol</t>
  </si>
  <si>
    <t>TRIBE</t>
  </si>
  <si>
    <t>2021-03-21</t>
  </si>
  <si>
    <t>Asset Management DeFi Stablecoin</t>
  </si>
  <si>
    <t>Filecoin</t>
  </si>
  <si>
    <t>FIL</t>
  </si>
  <si>
    <t>2014-07-08</t>
  </si>
  <si>
    <t>Futureswap</t>
  </si>
  <si>
    <t>FST</t>
  </si>
  <si>
    <t>2020-04-15</t>
  </si>
  <si>
    <t>Harvest Finance</t>
  </si>
  <si>
    <t>FARM</t>
  </si>
  <si>
    <t>2020-08-16</t>
  </si>
  <si>
    <t>Hegic</t>
  </si>
  <si>
    <t>HEGIC</t>
  </si>
  <si>
    <t>2020-02-20</t>
  </si>
  <si>
    <t>DeFi Insurance</t>
  </si>
  <si>
    <t>IDEX</t>
  </si>
  <si>
    <t>2017-10-14</t>
  </si>
  <si>
    <t>Idle Finance</t>
  </si>
  <si>
    <t>IDLE</t>
  </si>
  <si>
    <t>2019-04-23</t>
  </si>
  <si>
    <t>Index Cooperative</t>
  </si>
  <si>
    <t>INDEX</t>
  </si>
  <si>
    <t>2020-10-01</t>
  </si>
  <si>
    <t>Indexed Finance</t>
  </si>
  <si>
    <t>NDX</t>
  </si>
  <si>
    <t>2021-04-23</t>
  </si>
  <si>
    <t>Instadapp</t>
  </si>
  <si>
    <t>INST</t>
  </si>
  <si>
    <t>2018-10-16</t>
  </si>
  <si>
    <t>DeFi Interoperability Other</t>
  </si>
  <si>
    <t>Integral Protocol</t>
  </si>
  <si>
    <t>ITGR</t>
  </si>
  <si>
    <t>2021-04-21</t>
  </si>
  <si>
    <t>KeeperDAO</t>
  </si>
  <si>
    <t>ROOK</t>
  </si>
  <si>
    <t>2020-07-18</t>
  </si>
  <si>
    <t>Asset Management DeFi Other</t>
  </si>
  <si>
    <t>Keep Network</t>
  </si>
  <si>
    <t>KEEP</t>
  </si>
  <si>
    <t>2017-08-10</t>
  </si>
  <si>
    <t>DeFi Interoperability</t>
  </si>
  <si>
    <t>Kusama</t>
  </si>
  <si>
    <t>KSM</t>
  </si>
  <si>
    <t>2019-09-20</t>
  </si>
  <si>
    <t>Kyber</t>
  </si>
  <si>
    <t>KNC</t>
  </si>
  <si>
    <t>2018-02-10</t>
  </si>
  <si>
    <t>Lido Finance</t>
  </si>
  <si>
    <t>LDO</t>
  </si>
  <si>
    <t>2020-04-21</t>
  </si>
  <si>
    <t>Liquity</t>
  </si>
  <si>
    <t>LQTY</t>
  </si>
  <si>
    <t>Litecoin</t>
  </si>
  <si>
    <t>LTC</t>
  </si>
  <si>
    <t>2011-10-07</t>
  </si>
  <si>
    <t>Livepeer</t>
  </si>
  <si>
    <t>LPT</t>
  </si>
  <si>
    <t>2017-03-25</t>
  </si>
  <si>
    <t>Other</t>
  </si>
  <si>
    <t>Loopring</t>
  </si>
  <si>
    <t>LRC</t>
  </si>
  <si>
    <t>2019-12-02</t>
  </si>
  <si>
    <t>MakerDAO</t>
  </si>
  <si>
    <t>MKR</t>
  </si>
  <si>
    <t>2017-12-18</t>
  </si>
  <si>
    <t>MetaMask</t>
  </si>
  <si>
    <t>2015-07-01</t>
  </si>
  <si>
    <t>Mirror Protocol</t>
  </si>
  <si>
    <t>MIR</t>
  </si>
  <si>
    <t>2020-12-11</t>
  </si>
  <si>
    <t>DeFi</t>
  </si>
  <si>
    <t>mStable</t>
  </si>
  <si>
    <t>MTA</t>
  </si>
  <si>
    <t>Nexus Mutual</t>
  </si>
  <si>
    <t>NXM</t>
  </si>
  <si>
    <t>2019-05-30</t>
  </si>
  <si>
    <t>Notional Finance</t>
  </si>
  <si>
    <t>2020-10-16</t>
  </si>
  <si>
    <t>PancakeSwap</t>
  </si>
  <si>
    <t>CAKE</t>
  </si>
  <si>
    <t>2020-09-14</t>
  </si>
  <si>
    <t>Pangolin</t>
  </si>
  <si>
    <t>PNG</t>
  </si>
  <si>
    <t>Perpetual Protocol</t>
  </si>
  <si>
    <t>PERP</t>
  </si>
  <si>
    <t>2020-09-06</t>
  </si>
  <si>
    <t>PieDAO</t>
  </si>
  <si>
    <t>DOUGH</t>
  </si>
  <si>
    <t>DOT</t>
  </si>
  <si>
    <t>2020-08-20</t>
  </si>
  <si>
    <t>Polymarket</t>
  </si>
  <si>
    <t>2020-10-11</t>
  </si>
  <si>
    <t>DeFi Prediction Market</t>
  </si>
  <si>
    <t>PoolTogether</t>
  </si>
  <si>
    <t>POOL</t>
  </si>
  <si>
    <t>2019-04-15</t>
  </si>
  <si>
    <t>PowerPool</t>
  </si>
  <si>
    <t>CVP</t>
  </si>
  <si>
    <t>Rarible</t>
  </si>
  <si>
    <t>RARI</t>
  </si>
  <si>
    <t>2020-09-19</t>
  </si>
  <si>
    <t>DeFi NFT</t>
  </si>
  <si>
    <t>Rari Capital</t>
  </si>
  <si>
    <t>RGT</t>
  </si>
  <si>
    <t>Reflexer</t>
  </si>
  <si>
    <t>FLX</t>
  </si>
  <si>
    <t>2020-10-26</t>
  </si>
  <si>
    <t>DeFi Lending Stablecoin</t>
  </si>
  <si>
    <t>Ren</t>
  </si>
  <si>
    <t>REN</t>
  </si>
  <si>
    <t>2020-05-27</t>
  </si>
  <si>
    <t>Saddle Finance</t>
  </si>
  <si>
    <t>Set Protocol</t>
  </si>
  <si>
    <t>2017-10-01</t>
  </si>
  <si>
    <t>SIREN Markets</t>
  </si>
  <si>
    <t>SI</t>
  </si>
  <si>
    <t>DeFi Exchange Insurance</t>
  </si>
  <si>
    <t>Stake DAO</t>
  </si>
  <si>
    <t>SDT</t>
  </si>
  <si>
    <t>Stellar</t>
  </si>
  <si>
    <t>XLM</t>
  </si>
  <si>
    <t>2014-04-10</t>
  </si>
  <si>
    <t>SushiSwap</t>
  </si>
  <si>
    <t>SUSHI</t>
  </si>
  <si>
    <t>2020-09-09</t>
  </si>
  <si>
    <t>Swerve Finance</t>
  </si>
  <si>
    <t>SWRV</t>
  </si>
  <si>
    <t>Synthetix</t>
  </si>
  <si>
    <t>SNX</t>
  </si>
  <si>
    <t>2018-12-07</t>
  </si>
  <si>
    <t>Terra</t>
  </si>
  <si>
    <t>LUNA</t>
  </si>
  <si>
    <t>Tezos</t>
  </si>
  <si>
    <t>XTZ</t>
  </si>
  <si>
    <t>2018-09-16</t>
  </si>
  <si>
    <t>Thorchain</t>
  </si>
  <si>
    <t>RUNE</t>
  </si>
  <si>
    <t>2018-04-22</t>
  </si>
  <si>
    <t>Interoperability</t>
  </si>
  <si>
    <t>Tokenlon</t>
  </si>
  <si>
    <t>LON</t>
  </si>
  <si>
    <t>2020-12-22</t>
  </si>
  <si>
    <t>UMA</t>
  </si>
  <si>
    <t>2020-04-11</t>
  </si>
  <si>
    <t>DeFi Other</t>
  </si>
  <si>
    <t>Uniswap</t>
  </si>
  <si>
    <t>UNI</t>
  </si>
  <si>
    <t>2018-11-02</t>
  </si>
  <si>
    <t>Unit Protocol</t>
  </si>
  <si>
    <t>DUCK</t>
  </si>
  <si>
    <t>2019-04-21</t>
  </si>
  <si>
    <t>Venus</t>
  </si>
  <si>
    <t>XVS</t>
  </si>
  <si>
    <t>Vesper Finance</t>
  </si>
  <si>
    <t>VSP</t>
  </si>
  <si>
    <t>yearn.finance</t>
  </si>
  <si>
    <t>YFI</t>
  </si>
  <si>
    <t>2020-07-17</t>
  </si>
  <si>
    <t>Zcash</t>
  </si>
  <si>
    <t>ZEC</t>
  </si>
  <si>
    <t>2016-10-28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</si>
  <si>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</si>
  <si>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</si>
  <si>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</si>
  <si>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</si>
  <si>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</si>
  <si>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</si>
  <si>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</si>
  <si>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</si>
  <si>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</si>
  <si>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</si>
  <si>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</si>
  <si>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</si>
  <si>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</si>
  <si>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</si>
  <si>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</si>
  <si>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</si>
  <si>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</si>
  <si>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</si>
  <si>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</si>
  <si>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</si>
  <si>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</si>
  <si>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</si>
  <si>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</si>
  <si>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GNO Price</t>
  </si>
  <si>
    <t>Total transaction fees</t>
  </si>
  <si>
    <t xml:space="preserve">Month </t>
  </si>
  <si>
    <t>&lt;0.05</t>
  </si>
  <si>
    <t>The Transaction fee coefficient have an real effect on the price</t>
  </si>
  <si>
    <t>Total transactions</t>
  </si>
  <si>
    <t xml:space="preserve">Active Account </t>
  </si>
  <si>
    <t>Revenue</t>
  </si>
  <si>
    <t>ARPU</t>
  </si>
  <si>
    <t>Total Transactions last 90 days</t>
  </si>
  <si>
    <t>Active accounts in last 90 days</t>
  </si>
  <si>
    <t>Last twleve month active users</t>
  </si>
  <si>
    <t>Apple card users</t>
  </si>
  <si>
    <t>Year</t>
  </si>
  <si>
    <t xml:space="preserve">Growth rate </t>
  </si>
  <si>
    <t>Gnosis</t>
  </si>
  <si>
    <t xml:space="preserve">Binance revenue </t>
  </si>
  <si>
    <t>5.5B</t>
  </si>
  <si>
    <t>20B</t>
  </si>
  <si>
    <t>Revenue past 365 days</t>
  </si>
  <si>
    <t>Revenue annualized (Onchain)</t>
  </si>
  <si>
    <t xml:space="preserve">User growth rate </t>
  </si>
  <si>
    <t>Geo.Average</t>
  </si>
  <si>
    <t>Paypal History PS ratio</t>
  </si>
  <si>
    <t>PS Ratio</t>
  </si>
  <si>
    <t>Growth Rate</t>
  </si>
  <si>
    <t>Market Cap in 2025</t>
  </si>
  <si>
    <t>Price</t>
  </si>
  <si>
    <t>User</t>
  </si>
  <si>
    <t>Revenue Growth Rate</t>
  </si>
  <si>
    <t xml:space="preserve">AVERAGE </t>
  </si>
  <si>
    <t>PS Growth rate</t>
  </si>
  <si>
    <t xml:space="preserve"> Revenue Growth Rate</t>
  </si>
  <si>
    <t>Today price</t>
  </si>
  <si>
    <t>Transaction fees last 90 days</t>
  </si>
  <si>
    <t>Basic Information from Dune Analytics</t>
  </si>
  <si>
    <t>Link</t>
  </si>
  <si>
    <t>Fees from Last Twelve Months</t>
  </si>
  <si>
    <t>Fees from Last Twenty-Four Months/2</t>
  </si>
  <si>
    <t xml:space="preserve">Target price </t>
  </si>
  <si>
    <t>Target PF ratio of Comparables in Nob/22</t>
  </si>
  <si>
    <t>*Assumption for 2021 fees</t>
  </si>
  <si>
    <t>Average revenue per user (ARPU)</t>
  </si>
  <si>
    <t>The thepry price of today</t>
  </si>
  <si>
    <t>N+1 (2023)</t>
  </si>
  <si>
    <t>N+2 (2024)</t>
  </si>
  <si>
    <t>N+3 (2025)</t>
  </si>
  <si>
    <t>** Assumption for the card issueance from Oly project has the same growth rate as Apple Card</t>
  </si>
  <si>
    <t>Block History PS ratio</t>
  </si>
  <si>
    <t>***  Revenue Growth rate and PF ratio Growth rate assume as the geometric average of Bolck (Square) and PayPal (Venmo)</t>
  </si>
  <si>
    <t>**** Use the time frame from 2018 to 2020. (2018 Jack Dorsey launch bitcoin trading and plan for bitcoin payment)</t>
  </si>
  <si>
    <t>`</t>
  </si>
  <si>
    <t>Gnosis PF ratio</t>
  </si>
  <si>
    <t>Gnosis Revenue</t>
  </si>
  <si>
    <t>***** Assume fee = Revenue in Gnosis Chain, but still use PF ratio, because of the PS ratio of comparables (Polygon, Fantom) are not reasonable</t>
  </si>
  <si>
    <t>Active Users projection</t>
  </si>
  <si>
    <t xml:space="preserve">Assumtion for PF ratio and Revenue (Transaction fee) growth rate </t>
  </si>
  <si>
    <t>Target price of GNO in 2025</t>
  </si>
  <si>
    <t>VISA</t>
  </si>
  <si>
    <t xml:space="preserve">Revenue </t>
  </si>
  <si>
    <t xml:space="preserve">Growth </t>
  </si>
  <si>
    <t>MasterCard</t>
  </si>
  <si>
    <t>Appendix</t>
  </si>
  <si>
    <t>*P/F ratio: fully diluted market cap / annualized fees.</t>
  </si>
  <si>
    <t>** Source: Token Terminal, CoinGecko</t>
  </si>
  <si>
    <t>Layer 2</t>
  </si>
  <si>
    <t>Not Selected</t>
  </si>
  <si>
    <t>Selected</t>
  </si>
  <si>
    <t>***Not reliable source</t>
  </si>
  <si>
    <t>Three factors regression</t>
  </si>
  <si>
    <t>*The measure of how much change of the price is driven by other variables, Transaction fee, Total transactions and active accounts</t>
  </si>
  <si>
    <t>**46% of the variation in price, good correlation</t>
  </si>
  <si>
    <t>***Strong correlation</t>
  </si>
  <si>
    <t>One Factor regression</t>
  </si>
  <si>
    <t>&gt;0.05</t>
  </si>
  <si>
    <t>****These three factors do not have an real effect on the price</t>
  </si>
  <si>
    <t>*The measure of how much change of the price is driven by other variable, Transaction fee</t>
  </si>
  <si>
    <t>**36% of the variation in price, good correlation</t>
  </si>
  <si>
    <t>PF Ratio comparables</t>
  </si>
  <si>
    <t xml:space="preserve">Valuation Summary of Nov/22 </t>
  </si>
  <si>
    <t>Defi Ecosystem</t>
  </si>
  <si>
    <t>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</si>
</sst>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\$#,##0.00;[Red]\-\$#,##0.00"/>
    <numFmt numFmtId="166" formatCode="0.00\x"/>
    <numFmt numFmtId="167" formatCode="0.0%"/>
    <numFmt numFmtId="169" formatCode="_(&quot;$&quot;* #,##0.0_);_(&quot;$&quot;* \(#,##0.0\);_(&quot;$&quot;* &quot;-&quot;??_);_(@_)"/>
    <numFmt numFmtId="170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name val="Helvetica Neue"/>
    </font>
    <font>
      <sz val="11"/>
      <color theme="1"/>
      <name val="Calibri"/>
      <family val="2"/>
    </font>
    <font>
      <sz val="11"/>
      <name val="Arial"/>
      <family val="2"/>
    </font>
    <font>
      <b/>
      <sz val="10"/>
      <color theme="1"/>
      <name val="Helvetica Neue"/>
    </font>
    <font>
      <b/>
      <sz val="10"/>
      <color rgb="FF000000"/>
      <name val="Calibri"/>
      <family val="2"/>
    </font>
    <font>
      <sz val="11"/>
      <color rgb="FF54AC95"/>
      <name val="Calibri"/>
      <family val="2"/>
    </font>
    <font>
      <sz val="11"/>
      <color rgb="FFDC3A26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B6EAEF"/>
        <bgColor rgb="FFB6EAEF"/>
      </patternFill>
    </fill>
    <fill>
      <patternFill patternType="solid">
        <fgColor rgb="FFF6E3AF"/>
        <bgColor rgb="FFF6E3AF"/>
      </patternFill>
    </fill>
    <fill>
      <patternFill patternType="solid">
        <fgColor rgb="FFFFD7D9"/>
        <bgColor rgb="FFFFD7D9"/>
      </patternFill>
    </fill>
    <fill>
      <patternFill patternType="solid">
        <fgColor rgb="FF9EFEDF"/>
        <bgColor rgb="FF9EFEDF"/>
      </patternFill>
    </fill>
    <fill>
      <patternFill patternType="solid">
        <fgColor rgb="FFC1BBFD"/>
        <bgColor rgb="FFC1BBFD"/>
      </patternFill>
    </fill>
    <fill>
      <patternFill patternType="solid">
        <fgColor rgb="FFBFC0C0"/>
        <bgColor rgb="FFBFC0C0"/>
      </patternFill>
    </fill>
    <fill>
      <patternFill patternType="solid">
        <fgColor rgb="FFF2D7D0"/>
        <bgColor rgb="FFF2D7D0"/>
      </patternFill>
    </fill>
    <fill>
      <patternFill patternType="solid">
        <fgColor rgb="FFD5D5D5"/>
        <bgColor rgb="FFD5D5D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DDDDDD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DDDDDD"/>
      </top>
      <bottom/>
      <diagonal/>
    </border>
    <border>
      <left style="medium">
        <color indexed="64"/>
      </left>
      <right/>
      <top style="medium">
        <color rgb="FFDDDDDD"/>
      </top>
      <bottom style="medium">
        <color indexed="64"/>
      </bottom>
      <diagonal/>
    </border>
    <border>
      <left/>
      <right/>
      <top style="medium">
        <color rgb="FFDDDDDD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3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/>
    <xf numFmtId="0" fontId="9" fillId="11" borderId="1" xfId="0" applyFont="1" applyFill="1" applyBorder="1" applyAlignment="1">
      <alignment horizontal="right"/>
    </xf>
    <xf numFmtId="0" fontId="4" fillId="11" borderId="1" xfId="0" applyFont="1" applyFill="1" applyBorder="1"/>
    <xf numFmtId="0" fontId="6" fillId="0" borderId="1" xfId="0" applyFont="1" applyBorder="1"/>
    <xf numFmtId="165" fontId="6" fillId="0" borderId="1" xfId="0" applyNumberFormat="1" applyFont="1" applyBorder="1"/>
    <xf numFmtId="10" fontId="10" fillId="0" borderId="1" xfId="0" applyNumberFormat="1" applyFont="1" applyBorder="1"/>
    <xf numFmtId="10" fontId="11" fillId="0" borderId="1" xfId="0" applyNumberFormat="1" applyFont="1" applyBorder="1"/>
    <xf numFmtId="166" fontId="6" fillId="0" borderId="1" xfId="0" applyNumberFormat="1" applyFont="1" applyBorder="1"/>
    <xf numFmtId="0" fontId="10" fillId="0" borderId="1" xfId="0" applyFont="1" applyBorder="1"/>
    <xf numFmtId="164" fontId="2" fillId="0" borderId="0" xfId="1" applyNumberFormat="1" applyFont="1"/>
    <xf numFmtId="0" fontId="0" fillId="0" borderId="5" xfId="0" applyBorder="1"/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Continuous"/>
    </xf>
    <xf numFmtId="0" fontId="0" fillId="2" borderId="5" xfId="0" applyFill="1" applyBorder="1"/>
    <xf numFmtId="0" fontId="12" fillId="2" borderId="6" xfId="0" applyFont="1" applyFill="1" applyBorder="1" applyAlignment="1">
      <alignment horizontal="center"/>
    </xf>
    <xf numFmtId="0" fontId="0" fillId="2" borderId="0" xfId="0" applyFill="1"/>
    <xf numFmtId="43" fontId="0" fillId="0" borderId="0" xfId="0" applyNumberFormat="1"/>
    <xf numFmtId="6" fontId="13" fillId="12" borderId="8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14" fillId="0" borderId="0" xfId="4"/>
    <xf numFmtId="9" fontId="0" fillId="0" borderId="0" xfId="0" applyNumberFormat="1"/>
    <xf numFmtId="10" fontId="2" fillId="0" borderId="0" xfId="0" applyNumberFormat="1" applyFont="1"/>
    <xf numFmtId="9" fontId="0" fillId="0" borderId="0" xfId="2" applyFont="1" applyFill="1"/>
    <xf numFmtId="0" fontId="0" fillId="0" borderId="12" xfId="0" applyBorder="1"/>
    <xf numFmtId="17" fontId="0" fillId="0" borderId="11" xfId="0" applyNumberFormat="1" applyBorder="1"/>
    <xf numFmtId="164" fontId="0" fillId="0" borderId="0" xfId="1" applyNumberFormat="1" applyFont="1" applyBorder="1"/>
    <xf numFmtId="17" fontId="0" fillId="2" borderId="11" xfId="0" applyNumberFormat="1" applyFill="1" applyBorder="1"/>
    <xf numFmtId="0" fontId="0" fillId="0" borderId="13" xfId="0" applyBorder="1"/>
    <xf numFmtId="164" fontId="0" fillId="0" borderId="5" xfId="0" applyNumberFormat="1" applyBorder="1"/>
    <xf numFmtId="0" fontId="3" fillId="0" borderId="5" xfId="0" applyFont="1" applyBorder="1"/>
    <xf numFmtId="0" fontId="3" fillId="0" borderId="14" xfId="0" applyFont="1" applyBorder="1"/>
    <xf numFmtId="0" fontId="14" fillId="0" borderId="13" xfId="4" applyBorder="1"/>
    <xf numFmtId="0" fontId="3" fillId="0" borderId="0" xfId="0" applyFont="1"/>
    <xf numFmtId="0" fontId="3" fillId="0" borderId="12" xfId="0" applyFont="1" applyBorder="1"/>
    <xf numFmtId="0" fontId="3" fillId="0" borderId="11" xfId="0" applyFont="1" applyBorder="1" applyAlignment="1">
      <alignment horizontal="right"/>
    </xf>
    <xf numFmtId="170" fontId="0" fillId="0" borderId="0" xfId="3" applyNumberFormat="1" applyFont="1"/>
    <xf numFmtId="0" fontId="3" fillId="0" borderId="11" xfId="0" applyFont="1" applyBorder="1"/>
    <xf numFmtId="164" fontId="3" fillId="0" borderId="0" xfId="1" applyNumberFormat="1" applyFont="1" applyBorder="1"/>
    <xf numFmtId="0" fontId="0" fillId="0" borderId="11" xfId="0" applyBorder="1"/>
    <xf numFmtId="164" fontId="16" fillId="2" borderId="0" xfId="0" applyNumberFormat="1" applyFont="1" applyFill="1"/>
    <xf numFmtId="170" fontId="0" fillId="0" borderId="0" xfId="3" applyNumberFormat="1" applyFont="1" applyFill="1" applyBorder="1"/>
    <xf numFmtId="170" fontId="0" fillId="2" borderId="0" xfId="3" applyNumberFormat="1" applyFont="1" applyFill="1" applyBorder="1"/>
    <xf numFmtId="3" fontId="0" fillId="0" borderId="0" xfId="0" applyNumberFormat="1"/>
    <xf numFmtId="170" fontId="0" fillId="0" borderId="0" xfId="3" applyNumberFormat="1" applyFont="1" applyBorder="1"/>
    <xf numFmtId="14" fontId="3" fillId="0" borderId="11" xfId="1" applyNumberFormat="1" applyFont="1" applyFill="1" applyBorder="1"/>
    <xf numFmtId="169" fontId="0" fillId="0" borderId="0" xfId="3" applyNumberFormat="1" applyFont="1" applyBorder="1"/>
    <xf numFmtId="169" fontId="0" fillId="2" borderId="0" xfId="3" applyNumberFormat="1" applyFont="1" applyFill="1" applyBorder="1"/>
    <xf numFmtId="169" fontId="0" fillId="13" borderId="0" xfId="3" applyNumberFormat="1" applyFont="1" applyFill="1" applyBorder="1"/>
    <xf numFmtId="169" fontId="0" fillId="0" borderId="0" xfId="3" applyNumberFormat="1" applyFont="1" applyFill="1" applyBorder="1"/>
    <xf numFmtId="0" fontId="0" fillId="0" borderId="14" xfId="0" applyBorder="1"/>
    <xf numFmtId="9" fontId="2" fillId="0" borderId="0" xfId="0" applyNumberFormat="1" applyFont="1"/>
    <xf numFmtId="9" fontId="2" fillId="0" borderId="5" xfId="0" applyNumberFormat="1" applyFont="1" applyBorder="1"/>
    <xf numFmtId="9" fontId="0" fillId="0" borderId="0" xfId="2" applyFont="1" applyBorder="1"/>
    <xf numFmtId="9" fontId="2" fillId="0" borderId="0" xfId="2" applyFont="1" applyBorder="1"/>
    <xf numFmtId="167" fontId="2" fillId="0" borderId="0" xfId="2" applyNumberFormat="1" applyFont="1" applyBorder="1"/>
    <xf numFmtId="9" fontId="0" fillId="0" borderId="0" xfId="2" applyFont="1" applyFill="1" applyBorder="1"/>
    <xf numFmtId="167" fontId="0" fillId="0" borderId="0" xfId="2" applyNumberFormat="1" applyFont="1" applyBorder="1"/>
    <xf numFmtId="167" fontId="0" fillId="0" borderId="5" xfId="2" applyNumberFormat="1" applyFont="1" applyFill="1" applyBorder="1"/>
    <xf numFmtId="0" fontId="3" fillId="0" borderId="13" xfId="0" applyFont="1" applyBorder="1"/>
    <xf numFmtId="170" fontId="0" fillId="2" borderId="5" xfId="3" applyNumberFormat="1" applyFont="1" applyFill="1" applyBorder="1"/>
    <xf numFmtId="0" fontId="14" fillId="0" borderId="0" xfId="4" applyBorder="1"/>
    <xf numFmtId="9" fontId="0" fillId="0" borderId="12" xfId="2" applyFont="1" applyBorder="1"/>
    <xf numFmtId="9" fontId="0" fillId="2" borderId="12" xfId="2" applyFont="1" applyFill="1" applyBorder="1"/>
    <xf numFmtId="0" fontId="13" fillId="12" borderId="15" xfId="0" applyFont="1" applyFill="1" applyBorder="1" applyAlignment="1">
      <alignment horizontal="center" vertical="center" wrapText="1"/>
    </xf>
    <xf numFmtId="167" fontId="0" fillId="0" borderId="12" xfId="2" applyNumberFormat="1" applyFont="1" applyBorder="1"/>
    <xf numFmtId="0" fontId="13" fillId="12" borderId="16" xfId="0" applyFont="1" applyFill="1" applyBorder="1" applyAlignment="1">
      <alignment horizontal="center" vertical="center" wrapText="1"/>
    </xf>
    <xf numFmtId="6" fontId="13" fillId="12" borderId="17" xfId="0" applyNumberFormat="1" applyFont="1" applyFill="1" applyBorder="1" applyAlignment="1">
      <alignment horizontal="center" vertical="center" wrapText="1"/>
    </xf>
    <xf numFmtId="167" fontId="0" fillId="0" borderId="14" xfId="2" applyNumberFormat="1" applyFont="1" applyBorder="1"/>
    <xf numFmtId="0" fontId="0" fillId="13" borderId="0" xfId="0" applyFill="1"/>
    <xf numFmtId="0" fontId="3" fillId="15" borderId="11" xfId="0" applyFont="1" applyFill="1" applyBorder="1"/>
    <xf numFmtId="170" fontId="17" fillId="0" borderId="0" xfId="3" applyNumberFormat="1" applyFont="1" applyBorder="1"/>
    <xf numFmtId="0" fontId="3" fillId="14" borderId="11" xfId="0" applyFont="1" applyFill="1" applyBorder="1"/>
    <xf numFmtId="0" fontId="2" fillId="0" borderId="11" xfId="0" applyFont="1" applyBorder="1"/>
    <xf numFmtId="170" fontId="2" fillId="2" borderId="0" xfId="3" applyNumberFormat="1" applyFont="1" applyFill="1" applyBorder="1"/>
    <xf numFmtId="164" fontId="0" fillId="0" borderId="13" xfId="1" applyNumberFormat="1" applyFont="1" applyBorder="1"/>
    <xf numFmtId="0" fontId="12" fillId="0" borderId="20" xfId="0" applyFont="1" applyBorder="1" applyAlignment="1">
      <alignment horizontal="centerContinuous"/>
    </xf>
    <xf numFmtId="0" fontId="12" fillId="0" borderId="20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/>
    <xf numFmtId="44" fontId="0" fillId="2" borderId="0" xfId="3" applyFont="1" applyFill="1" applyBorder="1"/>
    <xf numFmtId="164" fontId="2" fillId="0" borderId="0" xfId="1" applyNumberFormat="1" applyFont="1" applyBorder="1"/>
    <xf numFmtId="9" fontId="17" fillId="0" borderId="0" xfId="0" applyNumberFormat="1" applyFont="1"/>
    <xf numFmtId="0" fontId="17" fillId="0" borderId="0" xfId="0" applyFont="1"/>
    <xf numFmtId="9" fontId="17" fillId="0" borderId="0" xfId="2" applyFont="1" applyBorder="1"/>
    <xf numFmtId="167" fontId="17" fillId="0" borderId="0" xfId="2" applyNumberFormat="1" applyFont="1" applyBorder="1"/>
    <xf numFmtId="0" fontId="15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9" xfId="0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3" borderId="2" xfId="0" applyFont="1" applyFill="1" applyBorder="1"/>
    <xf numFmtId="0" fontId="7" fillId="0" borderId="3" xfId="0" applyFont="1" applyBorder="1"/>
    <xf numFmtId="0" fontId="7" fillId="0" borderId="4" xfId="0" applyFont="1" applyBorder="1"/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Border="1"/>
    <xf numFmtId="9" fontId="2" fillId="0" borderId="0" xfId="0" applyNumberFormat="1" applyFont="1" applyBorder="1"/>
    <xf numFmtId="44" fontId="0" fillId="0" borderId="12" xfId="3" applyFont="1" applyBorder="1"/>
    <xf numFmtId="164" fontId="0" fillId="0" borderId="12" xfId="0" applyNumberFormat="1" applyBorder="1"/>
    <xf numFmtId="164" fontId="0" fillId="0" borderId="14" xfId="0" applyNumberFormat="1" applyBorder="1"/>
    <xf numFmtId="0" fontId="3" fillId="0" borderId="12" xfId="0" applyFont="1" applyFill="1" applyBorder="1"/>
    <xf numFmtId="170" fontId="0" fillId="0" borderId="11" xfId="3" applyNumberFormat="1" applyFont="1" applyBorder="1"/>
    <xf numFmtId="44" fontId="0" fillId="0" borderId="0" xfId="3" applyFont="1" applyBorder="1"/>
    <xf numFmtId="167" fontId="2" fillId="0" borderId="12" xfId="2" applyNumberFormat="1" applyFont="1" applyBorder="1"/>
    <xf numFmtId="170" fontId="0" fillId="0" borderId="13" xfId="3" applyNumberFormat="1" applyFont="1" applyBorder="1"/>
    <xf numFmtId="44" fontId="0" fillId="0" borderId="5" xfId="3" applyFont="1" applyBorder="1"/>
    <xf numFmtId="167" fontId="2" fillId="0" borderId="14" xfId="2" applyNumberFormat="1" applyFont="1" applyBorder="1"/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GNO</a:t>
            </a:r>
            <a:r>
              <a:rPr lang="zh-TW" altLang="en-US"/>
              <a:t> </a:t>
            </a:r>
            <a:r>
              <a:rPr lang="en-US" altLang="zh-TW"/>
              <a:t>Transaction fee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Valuation!$B$5:$B$29</c:f>
              <c:numCache>
                <c:formatCode>mmm\-yy</c:formatCode>
                <c:ptCount val="25"/>
                <c:pt idx="0">
                  <c:v>44136</c:v>
                </c:pt>
                <c:pt idx="1">
                  <c:v>44166</c:v>
                </c:pt>
                <c:pt idx="2">
                  <c:v>44197</c:v>
                </c:pt>
                <c:pt idx="3">
                  <c:v>44228</c:v>
                </c:pt>
                <c:pt idx="4">
                  <c:v>44256</c:v>
                </c:pt>
                <c:pt idx="5">
                  <c:v>44287</c:v>
                </c:pt>
                <c:pt idx="6">
                  <c:v>44317</c:v>
                </c:pt>
                <c:pt idx="7">
                  <c:v>44348</c:v>
                </c:pt>
                <c:pt idx="8">
                  <c:v>44378</c:v>
                </c:pt>
                <c:pt idx="9">
                  <c:v>44409</c:v>
                </c:pt>
                <c:pt idx="10">
                  <c:v>44440</c:v>
                </c:pt>
                <c:pt idx="11">
                  <c:v>44470</c:v>
                </c:pt>
                <c:pt idx="12">
                  <c:v>44501</c:v>
                </c:pt>
                <c:pt idx="13">
                  <c:v>44531</c:v>
                </c:pt>
                <c:pt idx="14">
                  <c:v>44562</c:v>
                </c:pt>
                <c:pt idx="15">
                  <c:v>44593</c:v>
                </c:pt>
                <c:pt idx="16">
                  <c:v>44621</c:v>
                </c:pt>
                <c:pt idx="17">
                  <c:v>44652</c:v>
                </c:pt>
                <c:pt idx="18">
                  <c:v>44682</c:v>
                </c:pt>
                <c:pt idx="19">
                  <c:v>44713</c:v>
                </c:pt>
                <c:pt idx="20">
                  <c:v>44743</c:v>
                </c:pt>
                <c:pt idx="21">
                  <c:v>44774</c:v>
                </c:pt>
                <c:pt idx="22">
                  <c:v>44805</c:v>
                </c:pt>
                <c:pt idx="23">
                  <c:v>44835</c:v>
                </c:pt>
                <c:pt idx="24">
                  <c:v>44866</c:v>
                </c:pt>
              </c:numCache>
            </c:numRef>
          </c:cat>
          <c:val>
            <c:numRef>
              <c:f>Valuation!$C$5:$C$29</c:f>
              <c:numCache>
                <c:formatCode>_(* #,##0_);_(* \(#,##0\);_(* "-"??_);_(@_)</c:formatCode>
                <c:ptCount val="25"/>
                <c:pt idx="0">
                  <c:v>544</c:v>
                </c:pt>
                <c:pt idx="1">
                  <c:v>559</c:v>
                </c:pt>
                <c:pt idx="2">
                  <c:v>2197</c:v>
                </c:pt>
                <c:pt idx="3">
                  <c:v>42558</c:v>
                </c:pt>
                <c:pt idx="4">
                  <c:v>129119</c:v>
                </c:pt>
                <c:pt idx="5">
                  <c:v>142163</c:v>
                </c:pt>
                <c:pt idx="6">
                  <c:v>533899</c:v>
                </c:pt>
                <c:pt idx="7">
                  <c:v>439345</c:v>
                </c:pt>
                <c:pt idx="8">
                  <c:v>205642</c:v>
                </c:pt>
                <c:pt idx="9">
                  <c:v>264627</c:v>
                </c:pt>
                <c:pt idx="10">
                  <c:v>566112</c:v>
                </c:pt>
                <c:pt idx="11">
                  <c:v>282898</c:v>
                </c:pt>
                <c:pt idx="12">
                  <c:v>323745</c:v>
                </c:pt>
                <c:pt idx="13">
                  <c:v>388017</c:v>
                </c:pt>
                <c:pt idx="14">
                  <c:v>413798</c:v>
                </c:pt>
                <c:pt idx="15">
                  <c:v>160551</c:v>
                </c:pt>
                <c:pt idx="16">
                  <c:v>164057</c:v>
                </c:pt>
                <c:pt idx="17">
                  <c:v>131290</c:v>
                </c:pt>
                <c:pt idx="18">
                  <c:v>189690</c:v>
                </c:pt>
                <c:pt idx="19">
                  <c:v>3949</c:v>
                </c:pt>
                <c:pt idx="20">
                  <c:v>1738</c:v>
                </c:pt>
                <c:pt idx="21">
                  <c:v>2801</c:v>
                </c:pt>
                <c:pt idx="22">
                  <c:v>2709</c:v>
                </c:pt>
                <c:pt idx="23">
                  <c:v>1327</c:v>
                </c:pt>
                <c:pt idx="24">
                  <c:v>1433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4-4191-95C9-FA6991622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747455"/>
        <c:axId val="1707750783"/>
      </c:barChart>
      <c:dateAx>
        <c:axId val="17077474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50783"/>
        <c:crosses val="autoZero"/>
        <c:auto val="1"/>
        <c:lblOffset val="100"/>
        <c:baseTimeUnit val="months"/>
      </c:dateAx>
      <c:valAx>
        <c:axId val="170775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4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Valuation!$D$4</c:f>
              <c:strCache>
                <c:ptCount val="1"/>
                <c:pt idx="0">
                  <c:v>Total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Valuation!$B$5:$B$29</c:f>
              <c:numCache>
                <c:formatCode>mmm\-yy</c:formatCode>
                <c:ptCount val="25"/>
                <c:pt idx="0">
                  <c:v>44136</c:v>
                </c:pt>
                <c:pt idx="1">
                  <c:v>44166</c:v>
                </c:pt>
                <c:pt idx="2">
                  <c:v>44197</c:v>
                </c:pt>
                <c:pt idx="3">
                  <c:v>44228</c:v>
                </c:pt>
                <c:pt idx="4">
                  <c:v>44256</c:v>
                </c:pt>
                <c:pt idx="5">
                  <c:v>44287</c:v>
                </c:pt>
                <c:pt idx="6">
                  <c:v>44317</c:v>
                </c:pt>
                <c:pt idx="7">
                  <c:v>44348</c:v>
                </c:pt>
                <c:pt idx="8">
                  <c:v>44378</c:v>
                </c:pt>
                <c:pt idx="9">
                  <c:v>44409</c:v>
                </c:pt>
                <c:pt idx="10">
                  <c:v>44440</c:v>
                </c:pt>
                <c:pt idx="11">
                  <c:v>44470</c:v>
                </c:pt>
                <c:pt idx="12">
                  <c:v>44501</c:v>
                </c:pt>
                <c:pt idx="13">
                  <c:v>44531</c:v>
                </c:pt>
                <c:pt idx="14">
                  <c:v>44562</c:v>
                </c:pt>
                <c:pt idx="15">
                  <c:v>44593</c:v>
                </c:pt>
                <c:pt idx="16">
                  <c:v>44621</c:v>
                </c:pt>
                <c:pt idx="17">
                  <c:v>44652</c:v>
                </c:pt>
                <c:pt idx="18">
                  <c:v>44682</c:v>
                </c:pt>
                <c:pt idx="19">
                  <c:v>44713</c:v>
                </c:pt>
                <c:pt idx="20">
                  <c:v>44743</c:v>
                </c:pt>
                <c:pt idx="21">
                  <c:v>44774</c:v>
                </c:pt>
                <c:pt idx="22">
                  <c:v>44805</c:v>
                </c:pt>
                <c:pt idx="23">
                  <c:v>44835</c:v>
                </c:pt>
                <c:pt idx="24">
                  <c:v>44866</c:v>
                </c:pt>
              </c:numCache>
            </c:numRef>
          </c:cat>
          <c:val>
            <c:numRef>
              <c:f>Valuation!$D$5:$D$29</c:f>
              <c:numCache>
                <c:formatCode>_(* #,##0_);_(* \(#,##0\);_(* "-"??_);_(@_)</c:formatCode>
                <c:ptCount val="25"/>
                <c:pt idx="0">
                  <c:v>1100799</c:v>
                </c:pt>
                <c:pt idx="1">
                  <c:v>1089356</c:v>
                </c:pt>
                <c:pt idx="2">
                  <c:v>3185226</c:v>
                </c:pt>
                <c:pt idx="3">
                  <c:v>3011489</c:v>
                </c:pt>
                <c:pt idx="4">
                  <c:v>4848266</c:v>
                </c:pt>
                <c:pt idx="5">
                  <c:v>4215811</c:v>
                </c:pt>
                <c:pt idx="6">
                  <c:v>7513673</c:v>
                </c:pt>
                <c:pt idx="7">
                  <c:v>6891864</c:v>
                </c:pt>
                <c:pt idx="8">
                  <c:v>6622998</c:v>
                </c:pt>
                <c:pt idx="9">
                  <c:v>9090866</c:v>
                </c:pt>
                <c:pt idx="10">
                  <c:v>7882158</c:v>
                </c:pt>
                <c:pt idx="11">
                  <c:v>7810838</c:v>
                </c:pt>
                <c:pt idx="12">
                  <c:v>5603630</c:v>
                </c:pt>
                <c:pt idx="13">
                  <c:v>6938242</c:v>
                </c:pt>
                <c:pt idx="14">
                  <c:v>5761675</c:v>
                </c:pt>
                <c:pt idx="15">
                  <c:v>5047650</c:v>
                </c:pt>
                <c:pt idx="16">
                  <c:v>4455106</c:v>
                </c:pt>
                <c:pt idx="17">
                  <c:v>3871965</c:v>
                </c:pt>
                <c:pt idx="18">
                  <c:v>6164423</c:v>
                </c:pt>
                <c:pt idx="19">
                  <c:v>2218339</c:v>
                </c:pt>
                <c:pt idx="20">
                  <c:v>1827330</c:v>
                </c:pt>
                <c:pt idx="21">
                  <c:v>2133566</c:v>
                </c:pt>
                <c:pt idx="22">
                  <c:v>2431087</c:v>
                </c:pt>
                <c:pt idx="23">
                  <c:v>2974297</c:v>
                </c:pt>
                <c:pt idx="24">
                  <c:v>1837668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5-4DB2-B4A2-B3451D6CD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715407"/>
        <c:axId val="1692724975"/>
      </c:lineChart>
      <c:dateAx>
        <c:axId val="16927154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24975"/>
        <c:crosses val="autoZero"/>
        <c:auto val="1"/>
        <c:lblOffset val="100"/>
        <c:baseTimeUnit val="months"/>
      </c:dateAx>
      <c:valAx>
        <c:axId val="169272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1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Valuation!$F$4</c:f>
              <c:strCache>
                <c:ptCount val="1"/>
                <c:pt idx="0">
                  <c:v>GNO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Valuation!$B$5:$B$29</c:f>
              <c:numCache>
                <c:formatCode>mmm\-yy</c:formatCode>
                <c:ptCount val="25"/>
                <c:pt idx="0">
                  <c:v>44136</c:v>
                </c:pt>
                <c:pt idx="1">
                  <c:v>44166</c:v>
                </c:pt>
                <c:pt idx="2">
                  <c:v>44197</c:v>
                </c:pt>
                <c:pt idx="3">
                  <c:v>44228</c:v>
                </c:pt>
                <c:pt idx="4">
                  <c:v>44256</c:v>
                </c:pt>
                <c:pt idx="5">
                  <c:v>44287</c:v>
                </c:pt>
                <c:pt idx="6">
                  <c:v>44317</c:v>
                </c:pt>
                <c:pt idx="7">
                  <c:v>44348</c:v>
                </c:pt>
                <c:pt idx="8">
                  <c:v>44378</c:v>
                </c:pt>
                <c:pt idx="9">
                  <c:v>44409</c:v>
                </c:pt>
                <c:pt idx="10">
                  <c:v>44440</c:v>
                </c:pt>
                <c:pt idx="11">
                  <c:v>44470</c:v>
                </c:pt>
                <c:pt idx="12">
                  <c:v>44501</c:v>
                </c:pt>
                <c:pt idx="13">
                  <c:v>44531</c:v>
                </c:pt>
                <c:pt idx="14">
                  <c:v>44562</c:v>
                </c:pt>
                <c:pt idx="15">
                  <c:v>44593</c:v>
                </c:pt>
                <c:pt idx="16">
                  <c:v>44621</c:v>
                </c:pt>
                <c:pt idx="17">
                  <c:v>44652</c:v>
                </c:pt>
                <c:pt idx="18">
                  <c:v>44682</c:v>
                </c:pt>
                <c:pt idx="19">
                  <c:v>44713</c:v>
                </c:pt>
                <c:pt idx="20">
                  <c:v>44743</c:v>
                </c:pt>
                <c:pt idx="21">
                  <c:v>44774</c:v>
                </c:pt>
                <c:pt idx="22">
                  <c:v>44805</c:v>
                </c:pt>
                <c:pt idx="23">
                  <c:v>44835</c:v>
                </c:pt>
                <c:pt idx="24">
                  <c:v>44866</c:v>
                </c:pt>
              </c:numCache>
            </c:numRef>
          </c:cat>
          <c:val>
            <c:numRef>
              <c:f>Valuation!$F$5:$F$29</c:f>
              <c:numCache>
                <c:formatCode>General</c:formatCode>
                <c:ptCount val="25"/>
                <c:pt idx="0">
                  <c:v>41</c:v>
                </c:pt>
                <c:pt idx="1">
                  <c:v>62</c:v>
                </c:pt>
                <c:pt idx="2">
                  <c:v>75</c:v>
                </c:pt>
                <c:pt idx="3">
                  <c:v>112</c:v>
                </c:pt>
                <c:pt idx="4">
                  <c:v>124</c:v>
                </c:pt>
                <c:pt idx="5">
                  <c:v>170</c:v>
                </c:pt>
                <c:pt idx="6">
                  <c:v>228</c:v>
                </c:pt>
                <c:pt idx="7">
                  <c:v>187</c:v>
                </c:pt>
                <c:pt idx="8">
                  <c:v>162</c:v>
                </c:pt>
                <c:pt idx="9">
                  <c:v>193</c:v>
                </c:pt>
                <c:pt idx="10">
                  <c:v>281</c:v>
                </c:pt>
                <c:pt idx="11">
                  <c:v>273</c:v>
                </c:pt>
                <c:pt idx="12">
                  <c:v>449</c:v>
                </c:pt>
                <c:pt idx="13">
                  <c:v>461</c:v>
                </c:pt>
                <c:pt idx="14">
                  <c:v>532</c:v>
                </c:pt>
                <c:pt idx="15">
                  <c:v>294</c:v>
                </c:pt>
                <c:pt idx="16">
                  <c:v>354</c:v>
                </c:pt>
                <c:pt idx="17">
                  <c:v>421</c:v>
                </c:pt>
                <c:pt idx="18">
                  <c:v>309</c:v>
                </c:pt>
                <c:pt idx="19">
                  <c:v>204</c:v>
                </c:pt>
                <c:pt idx="20">
                  <c:v>109</c:v>
                </c:pt>
                <c:pt idx="21">
                  <c:v>160</c:v>
                </c:pt>
                <c:pt idx="22">
                  <c:v>155</c:v>
                </c:pt>
                <c:pt idx="23">
                  <c:v>119</c:v>
                </c:pt>
                <c:pt idx="24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4-4560-BA38-7D846044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758703"/>
        <c:axId val="1651760783"/>
      </c:lineChart>
      <c:dateAx>
        <c:axId val="16517587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60783"/>
        <c:crosses val="autoZero"/>
        <c:auto val="1"/>
        <c:lblOffset val="100"/>
        <c:baseTimeUnit val="months"/>
      </c:dateAx>
      <c:valAx>
        <c:axId val="16517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5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1113513</xdr:colOff>
      <xdr:row>27</xdr:row>
      <xdr:rowOff>80536</xdr:rowOff>
    </xdr:from>
    <xdr:to>
      <xdr:col>10</xdr:col>
      <xdr:colOff>285775</xdr:colOff>
      <xdr:row>40</xdr:row>
      <xdr:rowOff>88907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17F9F-B538-5FE8-3AEF-88EF103EF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89930</xdr:colOff>
      <xdr:row>25</xdr:row>
      <xdr:rowOff>99915</xdr:rowOff>
    </xdr:from>
    <xdr:to>
      <xdr:col>17</xdr:col>
      <xdr:colOff>446689</xdr:colOff>
      <xdr:row>49</xdr:row>
      <xdr:rowOff>85304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3D9D67-1943-4786-A691-11F0E829D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1109156</xdr:colOff>
      <xdr:row>42</xdr:row>
      <xdr:rowOff>104195</xdr:rowOff>
    </xdr:from>
    <xdr:to>
      <xdr:col>10</xdr:col>
      <xdr:colOff>261167</xdr:colOff>
      <xdr:row>56</xdr:row>
      <xdr:rowOff>72253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A579C-DF9D-087A-27C0-052FB898C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yPYYKz0u9K0&amp;t=267s" TargetMode="External"/><Relationship Id="rId2" Type="http://schemas.openxmlformats.org/officeDocument/2006/relationships/hyperlink" Target="https://www.businessofapps.com/data/mobile-payments-app-market/" TargetMode="External"/><Relationship Id="rId1" Type="http://schemas.openxmlformats.org/officeDocument/2006/relationships/hyperlink" Target="https://dune.com/maxaleks/xDai-Usage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ewb-kAePIuc&amp;list=PLtEvcs3JL22P-ddhjCe7ol2rID28Mgug-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rowjo.com/company/Gno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ADC8-4AA6-4F88-8137-6D24839966C8}">
  <dimension ref="B1:V111"/>
  <sheetViews>
    <sheetView tabSelected="1" topLeftCell="B1" zoomScale="74" workbookViewId="0">
      <selection activeCell="N12" sqref="N12"/>
    </sheetView>
  </sheetViews>
  <sheetFormatPr defaultRowHeight="14.5"/>
  <cols>
    <col min="2" max="2" width="33.6328125" bestFit="1" customWidth="1"/>
    <col min="3" max="3" width="22.08984375" bestFit="1" customWidth="1"/>
    <col min="4" max="4" width="21.36328125" bestFit="1" customWidth="1"/>
    <col min="5" max="5" width="15.90625" bestFit="1" customWidth="1"/>
    <col min="6" max="6" width="14" bestFit="1" customWidth="1"/>
    <col min="7" max="7" width="30.6328125" bestFit="1" customWidth="1"/>
    <col min="8" max="8" width="40.1796875" customWidth="1"/>
    <col min="9" max="9" width="18.36328125" customWidth="1"/>
    <col min="10" max="10" width="15.26953125" customWidth="1"/>
    <col min="11" max="11" width="10.81640625" customWidth="1"/>
    <col min="13" max="13" width="10.6328125" customWidth="1"/>
    <col min="21" max="21" width="17" bestFit="1" customWidth="1"/>
    <col min="22" max="22" width="12.6328125" bestFit="1" customWidth="1"/>
  </cols>
  <sheetData>
    <row r="1" spans="2:22" ht="15" thickBot="1"/>
    <row r="2" spans="2:22">
      <c r="B2" s="92" t="s">
        <v>368</v>
      </c>
      <c r="C2" s="93"/>
      <c r="D2" s="93"/>
      <c r="E2" s="93"/>
      <c r="F2" s="94"/>
      <c r="H2" s="92" t="s">
        <v>412</v>
      </c>
      <c r="I2" s="93"/>
      <c r="J2" s="93"/>
      <c r="K2" s="94"/>
      <c r="T2" s="92" t="s">
        <v>395</v>
      </c>
      <c r="U2" s="93"/>
      <c r="V2" s="94"/>
    </row>
    <row r="3" spans="2:22">
      <c r="B3" s="95"/>
      <c r="C3" s="96"/>
      <c r="D3" s="96"/>
      <c r="E3" s="96"/>
      <c r="F3" s="97"/>
      <c r="H3" s="95"/>
      <c r="I3" s="96"/>
      <c r="J3" s="96"/>
      <c r="K3" s="97"/>
      <c r="T3" s="95"/>
      <c r="U3" s="96"/>
      <c r="V3" s="97"/>
    </row>
    <row r="4" spans="2:22">
      <c r="B4" s="41" t="s">
        <v>335</v>
      </c>
      <c r="C4" s="39" t="s">
        <v>334</v>
      </c>
      <c r="D4" s="39" t="s">
        <v>338</v>
      </c>
      <c r="E4" s="39" t="s">
        <v>339</v>
      </c>
      <c r="F4" s="40" t="s">
        <v>333</v>
      </c>
      <c r="H4" s="43" t="s">
        <v>373</v>
      </c>
      <c r="I4" s="44">
        <f>'PF Ratio Comparables'!C24</f>
        <v>177.93800000000002</v>
      </c>
      <c r="K4" s="30"/>
      <c r="T4" s="45" t="s">
        <v>346</v>
      </c>
      <c r="U4" s="67" t="s">
        <v>345</v>
      </c>
      <c r="V4" s="30" t="s">
        <v>347</v>
      </c>
    </row>
    <row r="5" spans="2:22">
      <c r="B5" s="31">
        <v>44136</v>
      </c>
      <c r="C5" s="32">
        <v>544</v>
      </c>
      <c r="D5" s="32">
        <v>1100799</v>
      </c>
      <c r="E5" s="32">
        <v>12744</v>
      </c>
      <c r="F5" s="30">
        <v>41</v>
      </c>
      <c r="G5" s="23"/>
      <c r="H5" s="45"/>
      <c r="K5" s="30"/>
      <c r="T5" s="45">
        <v>2019</v>
      </c>
      <c r="U5">
        <v>1600000</v>
      </c>
      <c r="V5" s="30"/>
    </row>
    <row r="6" spans="2:22">
      <c r="B6" s="31">
        <v>44166</v>
      </c>
      <c r="C6" s="32">
        <v>559</v>
      </c>
      <c r="D6" s="32">
        <v>1089356</v>
      </c>
      <c r="E6" s="32">
        <v>9654</v>
      </c>
      <c r="F6" s="30">
        <v>62</v>
      </c>
      <c r="G6" s="23"/>
      <c r="H6" s="45" t="s">
        <v>344</v>
      </c>
      <c r="I6" s="46">
        <f>AVERAGE(E5:E29)</f>
        <v>105704.68</v>
      </c>
      <c r="K6" s="30"/>
      <c r="T6" s="45">
        <v>2020</v>
      </c>
      <c r="U6">
        <v>3100000</v>
      </c>
      <c r="V6" s="68">
        <f>(U6/U5)-1</f>
        <v>0.9375</v>
      </c>
    </row>
    <row r="7" spans="2:22">
      <c r="B7" s="31">
        <v>44197</v>
      </c>
      <c r="C7" s="32">
        <v>2197</v>
      </c>
      <c r="D7" s="32">
        <v>3185226</v>
      </c>
      <c r="E7" s="32">
        <v>12743</v>
      </c>
      <c r="F7" s="30">
        <v>75</v>
      </c>
      <c r="G7" s="23"/>
      <c r="H7" s="45"/>
      <c r="K7" s="30"/>
      <c r="T7" s="45">
        <v>2021</v>
      </c>
      <c r="U7">
        <v>6400000</v>
      </c>
      <c r="V7" s="68">
        <f>(U7/U6)-1</f>
        <v>1.064516129032258</v>
      </c>
    </row>
    <row r="8" spans="2:22">
      <c r="B8" s="31">
        <v>44228</v>
      </c>
      <c r="C8" s="32">
        <v>42558</v>
      </c>
      <c r="D8" s="32">
        <v>3011489</v>
      </c>
      <c r="E8" s="32">
        <v>40418</v>
      </c>
      <c r="F8" s="30">
        <v>112</v>
      </c>
      <c r="G8" s="23"/>
      <c r="H8" s="45" t="s">
        <v>370</v>
      </c>
      <c r="I8" s="47">
        <f>SUM(C17:C29)</f>
        <v>1785105</v>
      </c>
      <c r="K8" s="30"/>
      <c r="T8" s="45">
        <v>2022</v>
      </c>
      <c r="U8">
        <v>7700000</v>
      </c>
      <c r="V8" s="68">
        <f>(U8/U7)-1</f>
        <v>0.203125</v>
      </c>
    </row>
    <row r="9" spans="2:22">
      <c r="B9" s="31">
        <v>44256</v>
      </c>
      <c r="C9" s="32">
        <v>129119</v>
      </c>
      <c r="D9" s="32">
        <v>4848266</v>
      </c>
      <c r="E9" s="32">
        <v>95853</v>
      </c>
      <c r="F9" s="30">
        <v>124</v>
      </c>
      <c r="G9" s="23"/>
      <c r="H9" s="45" t="s">
        <v>371</v>
      </c>
      <c r="I9" s="48">
        <f>SUM(C5:C29)/2</f>
        <v>2197384</v>
      </c>
      <c r="J9" s="39" t="s">
        <v>374</v>
      </c>
      <c r="K9" s="30"/>
      <c r="M9" s="25"/>
      <c r="T9" s="45"/>
      <c r="U9" t="s">
        <v>355</v>
      </c>
      <c r="V9" s="69">
        <f>((1+V6)*(1+V7)*(1+V8))^(1/3)-1</f>
        <v>0.68832835417345506</v>
      </c>
    </row>
    <row r="10" spans="2:22">
      <c r="B10" s="31">
        <v>44287</v>
      </c>
      <c r="C10" s="32">
        <v>142163</v>
      </c>
      <c r="D10" s="32">
        <v>4215811</v>
      </c>
      <c r="E10" s="32">
        <v>47192</v>
      </c>
      <c r="F10" s="30">
        <v>170</v>
      </c>
      <c r="G10" s="23"/>
      <c r="H10" s="45"/>
      <c r="I10" s="32"/>
      <c r="K10" s="30"/>
      <c r="M10" s="2"/>
      <c r="T10" s="45"/>
      <c r="V10" s="30"/>
    </row>
    <row r="11" spans="2:22">
      <c r="B11" s="31">
        <v>44317</v>
      </c>
      <c r="C11" s="32">
        <v>533899</v>
      </c>
      <c r="D11" s="32">
        <v>7513673</v>
      </c>
      <c r="E11" s="32">
        <v>37597</v>
      </c>
      <c r="F11" s="30">
        <v>228</v>
      </c>
      <c r="G11" s="23"/>
      <c r="H11" s="45" t="s">
        <v>375</v>
      </c>
      <c r="I11" s="86">
        <f>I9/I6</f>
        <v>20.787953759474039</v>
      </c>
      <c r="K11" s="30"/>
      <c r="T11" s="45"/>
      <c r="V11" s="30"/>
    </row>
    <row r="12" spans="2:22" ht="15" thickBot="1">
      <c r="B12" s="31">
        <v>44348</v>
      </c>
      <c r="C12" s="32">
        <v>439345</v>
      </c>
      <c r="D12" s="32">
        <v>6891864</v>
      </c>
      <c r="E12" s="32">
        <v>501015</v>
      </c>
      <c r="F12" s="30">
        <v>187</v>
      </c>
      <c r="G12" s="23"/>
      <c r="H12" s="45"/>
      <c r="K12" s="30"/>
      <c r="T12" s="45" t="s">
        <v>391</v>
      </c>
      <c r="U12" t="s">
        <v>392</v>
      </c>
      <c r="V12" s="30" t="s">
        <v>393</v>
      </c>
    </row>
    <row r="13" spans="2:22" ht="15" thickBot="1">
      <c r="B13" s="31">
        <v>44378</v>
      </c>
      <c r="C13" s="32">
        <v>205642</v>
      </c>
      <c r="D13" s="32">
        <v>6622998</v>
      </c>
      <c r="E13" s="32">
        <v>320453</v>
      </c>
      <c r="F13" s="30">
        <v>162</v>
      </c>
      <c r="G13" s="23"/>
      <c r="H13" s="45"/>
      <c r="K13" s="30"/>
      <c r="T13" s="70">
        <v>2012</v>
      </c>
      <c r="U13" s="24">
        <v>10421</v>
      </c>
      <c r="V13" s="71">
        <f>(U13-U14)/U14</f>
        <v>0.13419677840661734</v>
      </c>
    </row>
    <row r="14" spans="2:22" ht="15" thickBot="1">
      <c r="B14" s="31">
        <v>44409</v>
      </c>
      <c r="C14" s="32">
        <v>264627</v>
      </c>
      <c r="D14" s="32">
        <v>9090866</v>
      </c>
      <c r="E14" s="32">
        <v>471760</v>
      </c>
      <c r="F14" s="30">
        <v>193</v>
      </c>
      <c r="G14" s="23"/>
      <c r="H14" s="45" t="s">
        <v>17</v>
      </c>
      <c r="I14" s="49">
        <v>2579589</v>
      </c>
      <c r="K14" s="30"/>
      <c r="T14" s="70">
        <v>2011</v>
      </c>
      <c r="U14" s="24">
        <v>9188</v>
      </c>
      <c r="V14" s="71">
        <f>(U14-U15)/U15</f>
        <v>0.13924364538127712</v>
      </c>
    </row>
    <row r="15" spans="2:22">
      <c r="B15" s="31">
        <v>44440</v>
      </c>
      <c r="C15" s="32">
        <v>566112</v>
      </c>
      <c r="D15" s="32">
        <v>7882158</v>
      </c>
      <c r="E15" s="32">
        <v>188412</v>
      </c>
      <c r="F15" s="30">
        <v>281</v>
      </c>
      <c r="G15" s="23"/>
      <c r="H15" s="45" t="s">
        <v>18</v>
      </c>
      <c r="I15" s="32">
        <v>3000000</v>
      </c>
      <c r="K15" s="30"/>
      <c r="T15" s="70">
        <v>2010</v>
      </c>
      <c r="U15" s="24">
        <v>8065</v>
      </c>
      <c r="V15" s="71"/>
    </row>
    <row r="16" spans="2:22">
      <c r="B16" s="31">
        <v>44470</v>
      </c>
      <c r="C16" s="32">
        <v>282898</v>
      </c>
      <c r="D16" s="32">
        <v>7810838</v>
      </c>
      <c r="E16" s="32">
        <v>134708</v>
      </c>
      <c r="F16" s="30">
        <v>273</v>
      </c>
      <c r="G16" s="23"/>
      <c r="H16" s="45"/>
      <c r="K16" s="30"/>
      <c r="T16" s="45"/>
      <c r="V16" s="30"/>
    </row>
    <row r="17" spans="2:22">
      <c r="B17" s="33">
        <v>44501</v>
      </c>
      <c r="C17" s="32">
        <v>323745</v>
      </c>
      <c r="D17" s="32">
        <v>5603630</v>
      </c>
      <c r="E17" s="32">
        <v>100471</v>
      </c>
      <c r="F17" s="30">
        <v>449</v>
      </c>
      <c r="G17" s="23"/>
      <c r="H17" s="45"/>
      <c r="K17" s="30"/>
      <c r="T17" s="45"/>
      <c r="V17" s="30"/>
    </row>
    <row r="18" spans="2:22" ht="15" thickBot="1">
      <c r="B18" s="31">
        <v>44531</v>
      </c>
      <c r="C18" s="32">
        <v>388017</v>
      </c>
      <c r="D18" s="32">
        <v>6938242</v>
      </c>
      <c r="E18" s="32">
        <v>97704</v>
      </c>
      <c r="F18" s="30">
        <v>461</v>
      </c>
      <c r="G18" s="23"/>
      <c r="H18" s="45" t="s">
        <v>20</v>
      </c>
      <c r="I18" s="50">
        <f>I8*$I$4</f>
        <v>317638013.49000001</v>
      </c>
      <c r="K18" s="30"/>
      <c r="T18" s="45" t="s">
        <v>394</v>
      </c>
      <c r="V18" s="30"/>
    </row>
    <row r="19" spans="2:22" ht="15" thickBot="1">
      <c r="B19" s="31">
        <v>44562</v>
      </c>
      <c r="C19" s="32">
        <v>413798</v>
      </c>
      <c r="D19" s="32">
        <v>5761675</v>
      </c>
      <c r="E19" s="32">
        <v>73811</v>
      </c>
      <c r="F19" s="30">
        <v>532</v>
      </c>
      <c r="G19" s="23"/>
      <c r="H19" s="45" t="s">
        <v>21</v>
      </c>
      <c r="I19" s="50">
        <f>I9*$I$4</f>
        <v>390998114.19200003</v>
      </c>
      <c r="K19" s="30"/>
      <c r="T19" s="70">
        <v>2012</v>
      </c>
      <c r="U19" s="24">
        <v>7391</v>
      </c>
      <c r="V19" s="71">
        <f>(U19-U20)/U20</f>
        <v>0.1008340780458743</v>
      </c>
    </row>
    <row r="20" spans="2:22" ht="15" thickBot="1">
      <c r="B20" s="31">
        <v>44593</v>
      </c>
      <c r="C20" s="32">
        <v>160551</v>
      </c>
      <c r="D20" s="32">
        <v>5047650</v>
      </c>
      <c r="E20" s="32">
        <v>76620</v>
      </c>
      <c r="F20" s="30">
        <v>294</v>
      </c>
      <c r="G20" s="23"/>
      <c r="H20" s="45"/>
      <c r="K20" s="30"/>
      <c r="T20" s="70">
        <v>2011</v>
      </c>
      <c r="U20" s="24">
        <v>6714</v>
      </c>
      <c r="V20" s="71">
        <f>(U20-U21)/U21</f>
        <v>0.21213215381837877</v>
      </c>
    </row>
    <row r="21" spans="2:22" ht="15" thickBot="1">
      <c r="B21" s="31">
        <v>44621</v>
      </c>
      <c r="C21" s="32">
        <v>164057</v>
      </c>
      <c r="D21" s="32">
        <v>4455106</v>
      </c>
      <c r="E21" s="32">
        <v>80816</v>
      </c>
      <c r="F21" s="30">
        <v>354</v>
      </c>
      <c r="G21" s="23"/>
      <c r="H21" s="51">
        <v>44887</v>
      </c>
      <c r="I21" t="s">
        <v>372</v>
      </c>
      <c r="K21" s="30"/>
      <c r="T21" s="72">
        <v>2010</v>
      </c>
      <c r="U21" s="73">
        <v>5539</v>
      </c>
      <c r="V21" s="74"/>
    </row>
    <row r="22" spans="2:22">
      <c r="B22" s="31">
        <v>44652</v>
      </c>
      <c r="C22" s="32">
        <v>131290</v>
      </c>
      <c r="D22" s="32">
        <v>3871965</v>
      </c>
      <c r="E22" s="32">
        <v>54442</v>
      </c>
      <c r="F22" s="30">
        <v>421</v>
      </c>
      <c r="G22" s="23"/>
      <c r="H22" s="45" t="s">
        <v>22</v>
      </c>
      <c r="I22" s="52">
        <f>I18/$I$14</f>
        <v>123.13512481639518</v>
      </c>
      <c r="K22" s="30"/>
    </row>
    <row r="23" spans="2:22">
      <c r="B23" s="31">
        <v>44682</v>
      </c>
      <c r="C23" s="32">
        <v>189690</v>
      </c>
      <c r="D23" s="32">
        <v>6164423</v>
      </c>
      <c r="E23" s="32">
        <v>51050</v>
      </c>
      <c r="F23" s="30">
        <v>309</v>
      </c>
      <c r="G23" s="23"/>
      <c r="H23" s="45" t="s">
        <v>23</v>
      </c>
      <c r="I23" s="53">
        <f>I19/$I$14</f>
        <v>151.57380272283686</v>
      </c>
      <c r="J23" s="39" t="s">
        <v>376</v>
      </c>
      <c r="K23" s="30"/>
    </row>
    <row r="24" spans="2:22">
      <c r="B24" s="31">
        <v>44713</v>
      </c>
      <c r="C24" s="32">
        <v>3949</v>
      </c>
      <c r="D24" s="32">
        <v>2218339</v>
      </c>
      <c r="E24" s="32">
        <v>35990</v>
      </c>
      <c r="F24" s="30">
        <v>204</v>
      </c>
      <c r="G24" s="23"/>
      <c r="H24" s="45" t="s">
        <v>25</v>
      </c>
      <c r="I24" s="54">
        <f>I18/$I$15</f>
        <v>105.87933783</v>
      </c>
      <c r="K24" s="30"/>
    </row>
    <row r="25" spans="2:22">
      <c r="B25" s="31">
        <v>44743</v>
      </c>
      <c r="C25" s="32">
        <v>1738</v>
      </c>
      <c r="D25" s="32">
        <v>1827330</v>
      </c>
      <c r="E25" s="32">
        <v>27776</v>
      </c>
      <c r="F25" s="30">
        <v>109</v>
      </c>
      <c r="G25" s="23"/>
      <c r="H25" s="45" t="s">
        <v>24</v>
      </c>
      <c r="I25" s="55">
        <f>I19/$I$15</f>
        <v>130.33270473066668</v>
      </c>
      <c r="K25" s="30"/>
    </row>
    <row r="26" spans="2:22" ht="15" thickBot="1">
      <c r="B26" s="31">
        <v>44774</v>
      </c>
      <c r="C26" s="32">
        <v>2801</v>
      </c>
      <c r="D26" s="32">
        <v>2133566</v>
      </c>
      <c r="E26" s="32">
        <v>27355</v>
      </c>
      <c r="F26" s="30">
        <v>160</v>
      </c>
      <c r="G26" s="23"/>
      <c r="H26" s="34"/>
      <c r="I26" s="17"/>
      <c r="J26" s="17"/>
      <c r="K26" s="56"/>
    </row>
    <row r="27" spans="2:22">
      <c r="B27" s="31">
        <v>44805</v>
      </c>
      <c r="C27" s="32">
        <v>2709</v>
      </c>
      <c r="D27" s="32">
        <v>2431087</v>
      </c>
      <c r="E27" s="32">
        <v>44407</v>
      </c>
      <c r="F27" s="30">
        <v>155</v>
      </c>
      <c r="G27" s="23"/>
    </row>
    <row r="28" spans="2:22">
      <c r="B28" s="31">
        <v>44835</v>
      </c>
      <c r="C28" s="32">
        <v>1327</v>
      </c>
      <c r="D28" s="32">
        <v>2974297</v>
      </c>
      <c r="E28" s="32">
        <v>78184</v>
      </c>
      <c r="F28" s="30">
        <v>119</v>
      </c>
      <c r="G28" s="23"/>
    </row>
    <row r="29" spans="2:22">
      <c r="B29" s="31">
        <v>44866</v>
      </c>
      <c r="C29" s="32">
        <v>1433</v>
      </c>
      <c r="D29" s="32">
        <v>1837668</v>
      </c>
      <c r="E29" s="32">
        <v>21442</v>
      </c>
      <c r="F29" s="30">
        <v>127</v>
      </c>
      <c r="G29" s="23"/>
    </row>
    <row r="30" spans="2:22">
      <c r="B30" s="31"/>
      <c r="C30" s="32"/>
      <c r="D30" s="32"/>
      <c r="E30" s="32"/>
      <c r="F30" s="30"/>
      <c r="G30" s="23"/>
    </row>
    <row r="31" spans="2:22">
      <c r="B31" s="31"/>
      <c r="C31" s="32"/>
      <c r="D31" s="32"/>
      <c r="E31" s="32"/>
      <c r="F31" s="30"/>
      <c r="G31" s="23"/>
    </row>
    <row r="32" spans="2:22">
      <c r="B32" s="31"/>
      <c r="C32" s="32"/>
      <c r="D32" s="32"/>
      <c r="E32" t="s">
        <v>342</v>
      </c>
      <c r="F32" s="30"/>
      <c r="G32" s="23"/>
    </row>
    <row r="33" spans="2:7">
      <c r="B33" s="31"/>
      <c r="C33" s="32"/>
      <c r="D33" s="32"/>
      <c r="E33" s="32">
        <v>7845282</v>
      </c>
      <c r="F33" s="30"/>
      <c r="G33" s="23"/>
    </row>
    <row r="34" spans="2:7">
      <c r="B34" s="31"/>
      <c r="C34" s="32"/>
      <c r="D34" s="32"/>
      <c r="E34" t="s">
        <v>343</v>
      </c>
      <c r="F34" s="30"/>
      <c r="G34" s="23"/>
    </row>
    <row r="35" spans="2:7">
      <c r="B35" s="31"/>
      <c r="C35" s="32"/>
      <c r="D35" s="32"/>
      <c r="E35" s="32">
        <v>127428</v>
      </c>
      <c r="F35" s="30"/>
      <c r="G35" s="23"/>
    </row>
    <row r="36" spans="2:7">
      <c r="B36" s="31"/>
      <c r="C36" s="32"/>
      <c r="D36" s="32"/>
      <c r="E36" t="s">
        <v>367</v>
      </c>
      <c r="F36" s="30"/>
      <c r="G36" s="23"/>
    </row>
    <row r="37" spans="2:7">
      <c r="B37" s="31"/>
      <c r="C37" s="32"/>
      <c r="D37" s="32"/>
      <c r="E37" s="32">
        <v>6127</v>
      </c>
      <c r="F37" s="30"/>
      <c r="G37" s="23"/>
    </row>
    <row r="38" spans="2:7" ht="15" thickBot="1">
      <c r="B38" s="38" t="s">
        <v>369</v>
      </c>
      <c r="C38" s="35"/>
      <c r="D38" s="17"/>
      <c r="E38" s="36" t="s">
        <v>366</v>
      </c>
      <c r="F38" s="37">
        <v>79</v>
      </c>
    </row>
    <row r="39" spans="2:7">
      <c r="C39" s="16"/>
    </row>
    <row r="41" spans="2:7" ht="15" thickBot="1"/>
    <row r="42" spans="2:7" ht="14.5" customHeight="1">
      <c r="B42" s="92" t="s">
        <v>388</v>
      </c>
      <c r="C42" s="93"/>
      <c r="D42" s="94"/>
      <c r="E42" s="92" t="s">
        <v>340</v>
      </c>
      <c r="F42" s="93"/>
      <c r="G42" s="94"/>
    </row>
    <row r="43" spans="2:7" ht="14.5" customHeight="1">
      <c r="B43" s="95"/>
      <c r="C43" s="109"/>
      <c r="D43" s="97"/>
      <c r="E43" s="95"/>
      <c r="F43" s="109"/>
      <c r="G43" s="97"/>
    </row>
    <row r="44" spans="2:7">
      <c r="B44" s="43" t="s">
        <v>380</v>
      </c>
      <c r="C44" s="111"/>
      <c r="D44" s="30"/>
      <c r="E44" s="45"/>
      <c r="F44" s="111"/>
      <c r="G44" s="30"/>
    </row>
    <row r="45" spans="2:7">
      <c r="B45" s="45" t="s">
        <v>346</v>
      </c>
      <c r="C45" s="110" t="s">
        <v>354</v>
      </c>
      <c r="D45" s="40" t="s">
        <v>361</v>
      </c>
      <c r="E45" s="43" t="s">
        <v>386</v>
      </c>
      <c r="F45" s="111" t="s">
        <v>341</v>
      </c>
      <c r="G45" s="116" t="s">
        <v>362</v>
      </c>
    </row>
    <row r="46" spans="2:7">
      <c r="B46" s="45" t="s">
        <v>377</v>
      </c>
      <c r="C46" s="112">
        <f>Valuation!V6</f>
        <v>0.9375</v>
      </c>
      <c r="D46" s="114">
        <f>I6*(1+C46)</f>
        <v>204802.81749999998</v>
      </c>
      <c r="E46" s="117">
        <v>2913295.9378125081</v>
      </c>
      <c r="F46" s="118">
        <v>14.224882125034771</v>
      </c>
      <c r="G46" s="119">
        <v>0.32580192529503638</v>
      </c>
    </row>
    <row r="47" spans="2:7">
      <c r="B47" s="45" t="s">
        <v>378</v>
      </c>
      <c r="C47" s="112">
        <f>Valuation!V7</f>
        <v>1.064516129032258</v>
      </c>
      <c r="D47" s="114">
        <f>D46*(1+C47)</f>
        <v>422818.71999999991</v>
      </c>
      <c r="E47" s="117">
        <v>3735458.5590899168</v>
      </c>
      <c r="F47" s="118">
        <v>8.8346574605067563</v>
      </c>
      <c r="G47" s="119">
        <v>0.28221047185983505</v>
      </c>
    </row>
    <row r="48" spans="2:7" ht="15" thickBot="1">
      <c r="B48" s="34" t="s">
        <v>379</v>
      </c>
      <c r="C48" s="58">
        <f>Valuation!V8</f>
        <v>0.203125</v>
      </c>
      <c r="D48" s="115">
        <f>D47*(1+C48)</f>
        <v>508703.7724999999</v>
      </c>
      <c r="E48" s="120">
        <v>5825741.3918534089</v>
      </c>
      <c r="F48" s="121">
        <v>11.452129327099515</v>
      </c>
      <c r="G48" s="122">
        <v>0.55957864334405993</v>
      </c>
    </row>
    <row r="54" spans="4:7">
      <c r="G54" t="s">
        <v>384</v>
      </c>
    </row>
    <row r="58" spans="4:7">
      <c r="D58" s="28"/>
      <c r="E58" s="23"/>
    </row>
    <row r="59" spans="4:7">
      <c r="D59" s="28"/>
      <c r="E59" s="23"/>
    </row>
    <row r="60" spans="4:7">
      <c r="D60" s="28"/>
      <c r="E60" s="23"/>
    </row>
    <row r="64" spans="4:7" ht="15" thickBot="1"/>
    <row r="65" spans="2:7">
      <c r="B65" s="92" t="s">
        <v>389</v>
      </c>
      <c r="C65" s="93"/>
      <c r="D65" s="93"/>
      <c r="E65" s="93"/>
      <c r="F65" s="93"/>
      <c r="G65" s="94"/>
    </row>
    <row r="66" spans="2:7">
      <c r="B66" s="95"/>
      <c r="C66" s="96"/>
      <c r="D66" s="96"/>
      <c r="E66" s="96"/>
      <c r="F66" s="96"/>
      <c r="G66" s="97"/>
    </row>
    <row r="67" spans="2:7">
      <c r="B67" s="43" t="s">
        <v>382</v>
      </c>
      <c r="G67" s="30"/>
    </row>
    <row r="68" spans="2:7">
      <c r="B68" s="43" t="s">
        <v>383</v>
      </c>
      <c r="G68" s="30"/>
    </row>
    <row r="69" spans="2:7">
      <c r="B69" s="45"/>
      <c r="G69" s="30"/>
    </row>
    <row r="70" spans="2:7">
      <c r="B70" s="45" t="s">
        <v>381</v>
      </c>
      <c r="C70" s="39" t="s">
        <v>357</v>
      </c>
      <c r="D70" s="39" t="s">
        <v>358</v>
      </c>
      <c r="E70" s="39" t="s">
        <v>340</v>
      </c>
      <c r="F70" s="39" t="s">
        <v>362</v>
      </c>
      <c r="G70" s="30"/>
    </row>
    <row r="71" spans="2:7">
      <c r="B71" s="45">
        <v>2017</v>
      </c>
      <c r="C71">
        <v>5.17</v>
      </c>
      <c r="D71" s="59"/>
      <c r="E71" s="50">
        <v>2214</v>
      </c>
      <c r="G71" s="30"/>
    </row>
    <row r="72" spans="2:7">
      <c r="B72" s="45">
        <v>2018</v>
      </c>
      <c r="C72">
        <v>13.77</v>
      </c>
      <c r="D72" s="60">
        <f>(C72/C71)-1</f>
        <v>1.6634429400386845</v>
      </c>
      <c r="E72" s="50">
        <v>3298</v>
      </c>
      <c r="F72" s="61">
        <f>(E72/E71)-1</f>
        <v>0.48961156278229456</v>
      </c>
      <c r="G72" s="30"/>
    </row>
    <row r="73" spans="2:7">
      <c r="B73" s="45">
        <v>2019</v>
      </c>
      <c r="C73">
        <v>6.15</v>
      </c>
      <c r="D73" s="60">
        <f t="shared" ref="D73:D74" si="0">(C73/C72)-1</f>
        <v>-0.55337690631808267</v>
      </c>
      <c r="E73" s="50">
        <v>4714</v>
      </c>
      <c r="F73" s="61">
        <f t="shared" ref="F73:F74" si="1">(E73/E72)-1</f>
        <v>0.42935112189205582</v>
      </c>
      <c r="G73" s="30"/>
    </row>
    <row r="74" spans="2:7">
      <c r="B74" s="45">
        <v>2020</v>
      </c>
      <c r="C74">
        <v>9.8000000000000007</v>
      </c>
      <c r="D74" s="60">
        <f t="shared" si="0"/>
        <v>0.5934959349593496</v>
      </c>
      <c r="E74" s="50">
        <v>9498</v>
      </c>
      <c r="F74" s="61">
        <f t="shared" si="1"/>
        <v>1.0148493848112006</v>
      </c>
      <c r="G74" s="30"/>
    </row>
    <row r="75" spans="2:7">
      <c r="B75" s="45"/>
      <c r="E75" s="50"/>
      <c r="G75" s="30"/>
    </row>
    <row r="76" spans="2:7">
      <c r="B76" s="45"/>
      <c r="C76" t="s">
        <v>355</v>
      </c>
      <c r="D76" s="62">
        <f>((1+D72)*(1+D73)*(1+D74))^(1/3)-1</f>
        <v>0.23759489958287516</v>
      </c>
      <c r="E76" s="47"/>
      <c r="F76" s="62">
        <f>((1+F72)*(1+F73)*(1+F74))^(1/3)-1</f>
        <v>0.62486836326704953</v>
      </c>
      <c r="G76" s="30"/>
    </row>
    <row r="77" spans="2:7">
      <c r="B77" s="45" t="s">
        <v>356</v>
      </c>
      <c r="E77" s="50"/>
      <c r="G77" s="30"/>
    </row>
    <row r="78" spans="2:7">
      <c r="B78" s="45">
        <v>2016</v>
      </c>
      <c r="C78">
        <v>4.3899999999999997</v>
      </c>
      <c r="D78" s="59"/>
      <c r="E78" s="50">
        <v>10842</v>
      </c>
      <c r="G78" s="30"/>
    </row>
    <row r="79" spans="2:7">
      <c r="B79" s="45">
        <v>2017</v>
      </c>
      <c r="C79">
        <v>6.39</v>
      </c>
      <c r="D79" s="59">
        <f>(C79/C78)-1</f>
        <v>0.45558086560364464</v>
      </c>
      <c r="E79" s="50">
        <v>13094</v>
      </c>
      <c r="F79" s="63">
        <f>(E79/E78)-1</f>
        <v>0.20771075447334431</v>
      </c>
      <c r="G79" s="30"/>
    </row>
    <row r="80" spans="2:7">
      <c r="B80" s="45">
        <v>2018</v>
      </c>
      <c r="C80">
        <v>7.37</v>
      </c>
      <c r="D80" s="90">
        <f t="shared" ref="D80:D82" si="2">(C80/C79)-1</f>
        <v>0.15336463223787167</v>
      </c>
      <c r="E80" s="77">
        <v>15451</v>
      </c>
      <c r="F80" s="91">
        <f t="shared" ref="F80:F81" si="3">(E80/E79)-1</f>
        <v>0.18000610966855057</v>
      </c>
      <c r="G80" s="30"/>
    </row>
    <row r="81" spans="2:16">
      <c r="B81" s="45">
        <v>2019</v>
      </c>
      <c r="C81">
        <v>8.3699999999999992</v>
      </c>
      <c r="D81" s="90">
        <f t="shared" si="2"/>
        <v>0.13568521031207581</v>
      </c>
      <c r="E81" s="77">
        <v>17772</v>
      </c>
      <c r="F81" s="91">
        <f t="shared" si="3"/>
        <v>0.15021681444566704</v>
      </c>
      <c r="G81" s="30"/>
      <c r="P81" s="27"/>
    </row>
    <row r="82" spans="2:16">
      <c r="B82" s="45">
        <v>2020</v>
      </c>
      <c r="C82">
        <v>12.95</v>
      </c>
      <c r="D82" s="90">
        <f t="shared" si="2"/>
        <v>0.54719235364396668</v>
      </c>
      <c r="E82" s="77">
        <v>21454</v>
      </c>
      <c r="F82" s="91">
        <f>(E82/E81)-1</f>
        <v>0.20717983344586988</v>
      </c>
      <c r="G82" s="30"/>
      <c r="P82" s="27"/>
    </row>
    <row r="83" spans="2:16">
      <c r="B83" s="45"/>
      <c r="C83" t="s">
        <v>355</v>
      </c>
      <c r="D83" s="62">
        <f>((1+D81)*(1+D82)*(1+D80))^(1/3)-1</f>
        <v>0.26548296511242131</v>
      </c>
      <c r="F83" s="63">
        <f>((1+F80)*(1+F81)*(1+F82))^(1/3)-1</f>
        <v>0.17890455732517707</v>
      </c>
      <c r="G83" s="30"/>
      <c r="P83" s="27"/>
    </row>
    <row r="84" spans="2:16">
      <c r="B84" s="45"/>
      <c r="D84" s="62"/>
      <c r="F84" s="63"/>
      <c r="G84" s="30"/>
      <c r="P84" s="27"/>
    </row>
    <row r="85" spans="2:16">
      <c r="B85" s="45" t="s">
        <v>363</v>
      </c>
      <c r="D85" t="s">
        <v>364</v>
      </c>
      <c r="F85" t="s">
        <v>365</v>
      </c>
      <c r="G85" s="30"/>
      <c r="P85" s="27"/>
    </row>
    <row r="86" spans="2:16">
      <c r="B86" s="45">
        <v>2017</v>
      </c>
      <c r="D86" s="57"/>
      <c r="G86" s="30"/>
      <c r="P86" s="29"/>
    </row>
    <row r="87" spans="2:16">
      <c r="B87" s="45">
        <v>2018</v>
      </c>
      <c r="D87" s="88">
        <f>((1+D72)*(1+D80))^(1/2)-1</f>
        <v>0.7526896151413327</v>
      </c>
      <c r="E87" s="88"/>
      <c r="F87" s="88">
        <f>((1+F72)*(1+F80))^(1/2)-1</f>
        <v>0.32580192529503638</v>
      </c>
      <c r="G87" s="30"/>
    </row>
    <row r="88" spans="2:16">
      <c r="B88" s="45">
        <v>2019</v>
      </c>
      <c r="D88" s="88">
        <f>((1+D73)*(1+D81))^(1/2)-1</f>
        <v>-0.28780393003163929</v>
      </c>
      <c r="E88" s="89"/>
      <c r="F88" s="88">
        <f t="shared" ref="F88" si="4">((1+F73)*(1+F81))^(1/2)-1</f>
        <v>0.28221047185983505</v>
      </c>
      <c r="G88" s="30"/>
    </row>
    <row r="89" spans="2:16">
      <c r="B89" s="45">
        <v>2020</v>
      </c>
      <c r="D89" s="88">
        <f>((1+D74)*(1+D82))^(1/2)-1</f>
        <v>0.57017347007642738</v>
      </c>
      <c r="E89" s="89"/>
      <c r="F89" s="88">
        <f>((1+F74)*(1+F82))^(1/2)-1</f>
        <v>0.55957864334405993</v>
      </c>
      <c r="G89" s="30"/>
    </row>
    <row r="90" spans="2:16" ht="15" thickBot="1">
      <c r="B90" s="34"/>
      <c r="C90" s="17" t="s">
        <v>355</v>
      </c>
      <c r="D90" s="64">
        <f>((1+D88)*(1+D89)*(1+D87))^(1/3)-1</f>
        <v>0.25146125115088802</v>
      </c>
      <c r="E90" s="64"/>
      <c r="F90" s="64">
        <f t="shared" ref="F90" si="5">((1+F88)*(1+F89)*(1+F87))^(1/3)-1</f>
        <v>0.38403927636069146</v>
      </c>
      <c r="G90" s="56"/>
    </row>
    <row r="93" spans="2:16" ht="15" thickBot="1"/>
    <row r="94" spans="2:16">
      <c r="B94" s="92" t="s">
        <v>390</v>
      </c>
      <c r="C94" s="93"/>
      <c r="D94" s="93"/>
      <c r="E94" s="93"/>
      <c r="F94" s="93"/>
      <c r="G94" s="94"/>
    </row>
    <row r="95" spans="2:16">
      <c r="B95" s="95"/>
      <c r="C95" s="96"/>
      <c r="D95" s="96"/>
      <c r="E95" s="96"/>
      <c r="F95" s="96"/>
      <c r="G95" s="97"/>
    </row>
    <row r="96" spans="2:16">
      <c r="B96" s="43" t="s">
        <v>387</v>
      </c>
      <c r="G96" s="30"/>
    </row>
    <row r="97" spans="2:7">
      <c r="B97" s="43" t="s">
        <v>346</v>
      </c>
      <c r="C97" s="39" t="s">
        <v>385</v>
      </c>
      <c r="E97" s="39" t="s">
        <v>386</v>
      </c>
      <c r="G97" s="40" t="s">
        <v>341</v>
      </c>
    </row>
    <row r="98" spans="2:7">
      <c r="B98" s="45">
        <v>2023</v>
      </c>
      <c r="C98" s="32">
        <f>$I$4*(1+D87)</f>
        <v>311.87008473901847</v>
      </c>
      <c r="E98" s="50">
        <f>I9*(1+F87)</f>
        <v>2913295.9378125081</v>
      </c>
      <c r="G98" s="113">
        <f>E98/D46</f>
        <v>14.224882125034771</v>
      </c>
    </row>
    <row r="99" spans="2:7">
      <c r="B99" s="45">
        <v>2024</v>
      </c>
      <c r="C99" s="32">
        <f>C98*(1+D88)</f>
        <v>222.11264869182858</v>
      </c>
      <c r="E99" s="50">
        <f>E98*(1+F88)</f>
        <v>3735458.5590899168</v>
      </c>
      <c r="G99" s="113">
        <f>E99/D47</f>
        <v>8.8346574605067563</v>
      </c>
    </row>
    <row r="100" spans="2:7">
      <c r="B100" s="45">
        <v>2025</v>
      </c>
      <c r="C100" s="87">
        <f>C99*(1+D89)</f>
        <v>348.75538834431495</v>
      </c>
      <c r="E100" s="50">
        <f>E99*(1+F89)</f>
        <v>5825741.3918534089</v>
      </c>
      <c r="G100" s="113">
        <f>E100/D48</f>
        <v>11.452129327099515</v>
      </c>
    </row>
    <row r="101" spans="2:7">
      <c r="B101" s="45"/>
      <c r="G101" s="30"/>
    </row>
    <row r="102" spans="2:7">
      <c r="B102" s="45" t="s">
        <v>359</v>
      </c>
      <c r="C102" s="50">
        <f>E100*C100</f>
        <v>2031758701.5093856</v>
      </c>
      <c r="G102" s="30"/>
    </row>
    <row r="103" spans="2:7" ht="15" thickBot="1">
      <c r="B103" s="65" t="s">
        <v>360</v>
      </c>
      <c r="C103" s="66">
        <f>C102/3000000</f>
        <v>677.25290050312856</v>
      </c>
      <c r="D103" s="17"/>
      <c r="E103" s="17"/>
      <c r="F103" s="17"/>
      <c r="G103" s="56"/>
    </row>
    <row r="110" spans="2:7">
      <c r="B110" s="26" t="s">
        <v>413</v>
      </c>
    </row>
    <row r="111" spans="2:7">
      <c r="B111" s="26" t="s">
        <v>414</v>
      </c>
    </row>
  </sheetData>
  <mergeCells count="7">
    <mergeCell ref="B65:G66"/>
    <mergeCell ref="B94:G95"/>
    <mergeCell ref="T2:V3"/>
    <mergeCell ref="B2:F3"/>
    <mergeCell ref="H2:K3"/>
    <mergeCell ref="B42:D43"/>
    <mergeCell ref="E42:G43"/>
  </mergeCells>
  <hyperlinks>
    <hyperlink ref="B38" r:id="rId1" xr:uid="{E0C532ED-D336-4E02-8313-78F0E01DA57E}"/>
    <hyperlink ref="U4" r:id="rId2" xr:uid="{95CE8FA7-1A26-4CD5-9549-CCA72699F62F}"/>
    <hyperlink ref="B110" r:id="rId3" xr:uid="{8581F316-743D-4671-9119-600F8E8DB20C}"/>
    <hyperlink ref="B111" r:id="rId4" xr:uid="{0D98DE7D-71F9-46FC-B627-AF23A3AB24C7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7282-BBF4-481D-A215-735923B6E25D}">
  <dimension ref="B1:AC43"/>
  <sheetViews>
    <sheetView zoomScale="82" zoomScaleNormal="82" workbookViewId="0">
      <selection activeCell="H8" sqref="H8"/>
    </sheetView>
  </sheetViews>
  <sheetFormatPr defaultRowHeight="14.5"/>
  <cols>
    <col min="2" max="2" width="15.7265625" customWidth="1"/>
    <col min="3" max="3" width="32" customWidth="1"/>
    <col min="4" max="4" width="19.7265625" bestFit="1" customWidth="1"/>
    <col min="5" max="5" width="14.453125" bestFit="1" customWidth="1"/>
    <col min="6" max="6" width="18.36328125" bestFit="1" customWidth="1"/>
    <col min="7" max="7" width="14.453125" bestFit="1" customWidth="1"/>
    <col min="8" max="8" width="12.36328125" bestFit="1" customWidth="1"/>
    <col min="9" max="9" width="18.6328125" bestFit="1" customWidth="1"/>
    <col min="10" max="10" width="21.6328125" bestFit="1" customWidth="1"/>
    <col min="11" max="11" width="28.90625" bestFit="1" customWidth="1"/>
    <col min="12" max="12" width="12.81640625" bestFit="1" customWidth="1"/>
    <col min="13" max="13" width="13.90625" bestFit="1" customWidth="1"/>
    <col min="15" max="15" width="18" bestFit="1" customWidth="1"/>
  </cols>
  <sheetData>
    <row r="1" spans="2:27" ht="15" thickBot="1"/>
    <row r="2" spans="2:27">
      <c r="B2" s="98" t="s">
        <v>411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27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</row>
    <row r="4" spans="2:27">
      <c r="B4" s="95"/>
      <c r="C4" s="96"/>
      <c r="D4" s="96"/>
      <c r="E4" s="96"/>
      <c r="F4" s="96"/>
      <c r="G4" s="96"/>
      <c r="H4" s="96"/>
      <c r="I4" s="96"/>
      <c r="J4" s="96"/>
      <c r="K4" s="96"/>
      <c r="L4" s="96"/>
      <c r="M4" s="97"/>
    </row>
    <row r="5" spans="2:27">
      <c r="B5" s="95"/>
      <c r="C5" s="96"/>
      <c r="D5" s="96"/>
      <c r="E5" s="96"/>
      <c r="F5" s="96"/>
      <c r="G5" s="96"/>
      <c r="H5" s="96"/>
      <c r="I5" s="96"/>
      <c r="J5" s="96"/>
      <c r="K5" s="96"/>
      <c r="L5" s="96"/>
      <c r="M5" s="97"/>
    </row>
    <row r="6" spans="2:27">
      <c r="B6" s="76" t="s">
        <v>400</v>
      </c>
      <c r="C6" s="32"/>
      <c r="K6" s="32"/>
      <c r="M6" s="30"/>
      <c r="S6" s="1"/>
      <c r="AA6" s="1"/>
    </row>
    <row r="7" spans="2:27">
      <c r="B7" s="43" t="s">
        <v>26</v>
      </c>
      <c r="C7" s="39" t="s">
        <v>12</v>
      </c>
      <c r="D7" s="39" t="s">
        <v>15</v>
      </c>
      <c r="E7" s="39" t="s">
        <v>13</v>
      </c>
      <c r="F7" s="39" t="s">
        <v>16</v>
      </c>
      <c r="G7" s="39" t="s">
        <v>10</v>
      </c>
      <c r="H7" s="39" t="s">
        <v>9</v>
      </c>
      <c r="I7" s="39" t="s">
        <v>11</v>
      </c>
      <c r="J7" s="39" t="s">
        <v>352</v>
      </c>
      <c r="K7" s="39" t="s">
        <v>353</v>
      </c>
      <c r="M7" s="30"/>
    </row>
    <row r="8" spans="2:27">
      <c r="B8" s="45" t="s">
        <v>0</v>
      </c>
      <c r="C8" s="50"/>
      <c r="D8" s="50"/>
      <c r="G8" s="32"/>
      <c r="H8" s="32">
        <v>114.8</v>
      </c>
      <c r="I8" s="50"/>
      <c r="J8" s="50">
        <v>5100000000</v>
      </c>
      <c r="K8" s="50"/>
      <c r="M8" s="30"/>
    </row>
    <row r="9" spans="2:27">
      <c r="B9" s="45" t="s">
        <v>1</v>
      </c>
      <c r="C9" s="50">
        <v>42010000000</v>
      </c>
      <c r="D9" s="50">
        <v>51460000000</v>
      </c>
      <c r="E9" s="32">
        <v>1896</v>
      </c>
      <c r="F9" s="32"/>
      <c r="G9" s="32">
        <v>189.5</v>
      </c>
      <c r="H9" s="32">
        <v>154.80000000000001</v>
      </c>
      <c r="I9" s="50">
        <v>287450000</v>
      </c>
      <c r="J9" s="50">
        <v>52300000</v>
      </c>
      <c r="K9" s="50">
        <v>28720000</v>
      </c>
      <c r="M9" s="30"/>
    </row>
    <row r="10" spans="2:27">
      <c r="B10" s="45" t="s">
        <v>7</v>
      </c>
      <c r="C10" s="50">
        <v>435500000</v>
      </c>
      <c r="D10" s="50">
        <v>544130000</v>
      </c>
      <c r="E10" s="32">
        <v>525</v>
      </c>
      <c r="F10" s="32"/>
      <c r="G10" s="32">
        <v>157</v>
      </c>
      <c r="H10" s="32"/>
      <c r="I10" s="50">
        <v>3710000</v>
      </c>
      <c r="J10" s="50">
        <v>7900000</v>
      </c>
      <c r="K10" s="50">
        <v>1100000</v>
      </c>
      <c r="M10" s="30"/>
    </row>
    <row r="11" spans="2:27">
      <c r="B11" s="45"/>
      <c r="C11" s="50"/>
      <c r="D11" s="50"/>
      <c r="E11" s="32"/>
      <c r="F11" s="32"/>
      <c r="G11" s="32"/>
      <c r="H11" s="32"/>
      <c r="I11" s="50"/>
      <c r="J11" s="50"/>
      <c r="K11" s="50"/>
      <c r="M11" s="30"/>
    </row>
    <row r="12" spans="2:27">
      <c r="B12" s="43" t="s">
        <v>398</v>
      </c>
      <c r="C12" s="50"/>
      <c r="D12" s="50"/>
      <c r="E12" s="32"/>
      <c r="F12" s="32"/>
      <c r="G12" s="32"/>
      <c r="H12" s="32"/>
      <c r="I12" s="50"/>
      <c r="J12" s="50"/>
      <c r="K12" s="50"/>
      <c r="M12" s="30"/>
    </row>
    <row r="13" spans="2:27">
      <c r="B13" s="45" t="s">
        <v>6</v>
      </c>
      <c r="C13" s="50">
        <v>177930000</v>
      </c>
      <c r="D13" s="50">
        <v>3560000000</v>
      </c>
      <c r="E13" s="32">
        <v>918</v>
      </c>
      <c r="F13" s="32"/>
      <c r="G13" s="32">
        <v>204</v>
      </c>
      <c r="H13" s="32"/>
      <c r="I13" s="50">
        <v>19520000</v>
      </c>
      <c r="J13" s="50">
        <v>5800000</v>
      </c>
      <c r="K13" s="50">
        <v>4350000</v>
      </c>
      <c r="M13" s="30"/>
    </row>
    <row r="14" spans="2:27">
      <c r="B14" s="45" t="s">
        <v>3</v>
      </c>
      <c r="C14" s="50">
        <v>6980000000</v>
      </c>
      <c r="D14" s="50">
        <v>7870000000</v>
      </c>
      <c r="E14" s="32"/>
      <c r="F14" s="32"/>
      <c r="G14" s="32">
        <v>224.39</v>
      </c>
      <c r="H14" s="32"/>
      <c r="I14" s="50">
        <v>39140000</v>
      </c>
      <c r="J14" s="50">
        <v>4600000</v>
      </c>
      <c r="K14" s="77">
        <v>15600000</v>
      </c>
      <c r="M14" s="30"/>
    </row>
    <row r="15" spans="2:27">
      <c r="B15" s="45"/>
      <c r="C15" s="50"/>
      <c r="D15" s="50"/>
      <c r="E15" s="32"/>
      <c r="F15" s="32"/>
      <c r="G15" s="32"/>
      <c r="H15" s="32"/>
      <c r="I15" s="50"/>
      <c r="J15" s="50"/>
      <c r="K15" s="50"/>
      <c r="M15" s="30"/>
    </row>
    <row r="16" spans="2:27">
      <c r="B16" s="43" t="s">
        <v>348</v>
      </c>
      <c r="C16" s="50">
        <v>204992231</v>
      </c>
      <c r="D16" s="50">
        <v>238401037</v>
      </c>
      <c r="H16" s="84">
        <f>C16/I16</f>
        <v>114.83483100433868</v>
      </c>
      <c r="I16" s="50">
        <f>Valuation!I8</f>
        <v>1785105</v>
      </c>
      <c r="J16" s="50"/>
      <c r="K16" s="50">
        <v>15100000</v>
      </c>
      <c r="L16" t="s">
        <v>401</v>
      </c>
      <c r="M16" s="30"/>
    </row>
    <row r="17" spans="2:29">
      <c r="B17" s="78" t="s">
        <v>399</v>
      </c>
      <c r="C17" s="50"/>
      <c r="D17" s="50"/>
      <c r="E17" s="32"/>
      <c r="F17" s="32"/>
      <c r="G17" s="32"/>
      <c r="H17" s="32"/>
      <c r="I17" s="50"/>
      <c r="J17" s="50"/>
      <c r="K17" s="50"/>
      <c r="M17" s="30"/>
    </row>
    <row r="18" spans="2:29" s="75" customFormat="1">
      <c r="B18" s="45" t="s">
        <v>8</v>
      </c>
      <c r="C18" s="50">
        <v>4280000000</v>
      </c>
      <c r="D18" s="50"/>
      <c r="E18" s="32"/>
      <c r="F18" s="32">
        <v>569</v>
      </c>
      <c r="G18" s="32"/>
      <c r="H18" s="32">
        <v>284.81</v>
      </c>
      <c r="I18" s="50">
        <v>16440000</v>
      </c>
      <c r="J18" s="50"/>
      <c r="K18" s="50">
        <v>8220000</v>
      </c>
      <c r="L18"/>
      <c r="M18" s="30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2:29" s="75" customFormat="1">
      <c r="B19" s="45" t="s">
        <v>14</v>
      </c>
      <c r="C19" s="50">
        <v>6090000000</v>
      </c>
      <c r="D19" s="50"/>
      <c r="E19" s="32"/>
      <c r="F19" s="32">
        <v>16294</v>
      </c>
      <c r="G19" s="32"/>
      <c r="H19" s="32">
        <v>13035</v>
      </c>
      <c r="I19" s="50">
        <v>495555</v>
      </c>
      <c r="J19" s="50"/>
      <c r="K19" s="50">
        <v>396440</v>
      </c>
      <c r="L19"/>
      <c r="M19" s="30"/>
      <c r="N19"/>
      <c r="O19"/>
      <c r="P19"/>
      <c r="Q19"/>
      <c r="R19"/>
      <c r="S19" s="1"/>
      <c r="T19"/>
      <c r="U19"/>
      <c r="V19"/>
      <c r="W19"/>
      <c r="X19"/>
      <c r="Y19"/>
      <c r="Z19"/>
      <c r="AA19" s="1"/>
      <c r="AB19"/>
      <c r="AC19"/>
    </row>
    <row r="20" spans="2:29" s="75" customFormat="1">
      <c r="B20" s="45" t="s">
        <v>4</v>
      </c>
      <c r="C20" s="50">
        <v>3570000000</v>
      </c>
      <c r="D20" s="50">
        <v>8550000000</v>
      </c>
      <c r="E20" s="32">
        <v>1257</v>
      </c>
      <c r="F20" s="32"/>
      <c r="G20" s="32">
        <v>1257</v>
      </c>
      <c r="H20" s="32"/>
      <c r="I20" s="50">
        <v>7380000</v>
      </c>
      <c r="J20" s="50"/>
      <c r="K20" s="50">
        <v>7380000</v>
      </c>
      <c r="L20"/>
      <c r="M20" s="30"/>
      <c r="N20"/>
      <c r="O20"/>
      <c r="P20"/>
      <c r="Q20"/>
      <c r="R20"/>
      <c r="S20" s="1"/>
      <c r="T20"/>
      <c r="U20"/>
      <c r="V20"/>
      <c r="W20"/>
      <c r="X20"/>
      <c r="Y20"/>
      <c r="Z20"/>
      <c r="AA20" s="1"/>
      <c r="AB20"/>
      <c r="AC20"/>
    </row>
    <row r="21" spans="2:29" s="75" customFormat="1">
      <c r="B21" s="45" t="s">
        <v>2</v>
      </c>
      <c r="C21" s="50"/>
      <c r="D21" s="50"/>
      <c r="E21"/>
      <c r="F21"/>
      <c r="G21" s="32"/>
      <c r="H21" s="32"/>
      <c r="I21" s="50"/>
      <c r="J21" s="50"/>
      <c r="K21" s="50"/>
      <c r="L21"/>
      <c r="M21" s="30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2:29">
      <c r="B22" s="45" t="s">
        <v>5</v>
      </c>
      <c r="C22" s="50"/>
      <c r="D22" s="50"/>
      <c r="E22" s="32"/>
      <c r="F22" s="32"/>
      <c r="G22" s="32"/>
      <c r="H22" s="32"/>
      <c r="I22" s="50">
        <v>12710000</v>
      </c>
      <c r="J22" s="50">
        <v>7600000</v>
      </c>
      <c r="K22" s="50">
        <v>3260000</v>
      </c>
      <c r="M22" s="30"/>
    </row>
    <row r="23" spans="2:29">
      <c r="B23" s="45"/>
      <c r="C23" s="50"/>
      <c r="D23" s="50"/>
      <c r="G23" s="32"/>
      <c r="H23" s="32"/>
      <c r="I23" s="50"/>
      <c r="J23" s="50"/>
      <c r="K23" s="50"/>
      <c r="M23" s="30"/>
    </row>
    <row r="24" spans="2:29">
      <c r="B24" s="79" t="s">
        <v>19</v>
      </c>
      <c r="C24" s="80">
        <f>AVERAGE(H8,G9,G14,G13,G10)</f>
        <v>177.93800000000002</v>
      </c>
      <c r="D24" s="50"/>
      <c r="I24" s="50"/>
      <c r="J24" s="50"/>
      <c r="K24" s="50"/>
      <c r="M24" s="30"/>
    </row>
    <row r="25" spans="2:29">
      <c r="B25" s="45"/>
      <c r="C25" s="50"/>
      <c r="D25" s="50"/>
      <c r="I25" s="50"/>
      <c r="J25" s="50"/>
      <c r="K25" s="50"/>
      <c r="M25" s="30"/>
    </row>
    <row r="26" spans="2:29">
      <c r="B26" s="45" t="s">
        <v>396</v>
      </c>
      <c r="C26" s="50"/>
      <c r="D26" s="50"/>
      <c r="I26" s="50"/>
      <c r="J26" s="50"/>
      <c r="K26" s="50"/>
      <c r="M26" s="30"/>
    </row>
    <row r="27" spans="2:29" ht="15" thickBot="1">
      <c r="B27" s="81" t="s">
        <v>397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56"/>
    </row>
    <row r="28" spans="2:29">
      <c r="C28" s="42"/>
      <c r="D28" s="42"/>
      <c r="I28" s="42"/>
      <c r="J28" s="42"/>
      <c r="K28" s="42"/>
    </row>
    <row r="29" spans="2:29">
      <c r="K29" s="42"/>
    </row>
    <row r="31" spans="2:29">
      <c r="C31" s="1"/>
      <c r="K31" s="1"/>
      <c r="S31" s="1"/>
      <c r="AA31" s="1"/>
    </row>
    <row r="32" spans="2:29" ht="15" thickBot="1">
      <c r="C32" s="1"/>
      <c r="K32" s="1"/>
      <c r="S32" s="1"/>
      <c r="AA32" s="1"/>
    </row>
    <row r="33" spans="2:3" ht="15" thickBot="1">
      <c r="B33" s="99" t="s">
        <v>349</v>
      </c>
      <c r="C33" s="100"/>
    </row>
    <row r="34" spans="2:3">
      <c r="B34" s="45">
        <v>2020</v>
      </c>
      <c r="C34" s="30" t="s">
        <v>350</v>
      </c>
    </row>
    <row r="35" spans="2:3" ht="15" thickBot="1">
      <c r="B35" s="34">
        <v>2021</v>
      </c>
      <c r="C35" s="56" t="s">
        <v>351</v>
      </c>
    </row>
    <row r="38" spans="2:3">
      <c r="B38" s="1"/>
    </row>
    <row r="39" spans="2:3">
      <c r="B39" s="1"/>
      <c r="C39" s="1"/>
    </row>
    <row r="40" spans="2:3">
      <c r="B40" s="1"/>
      <c r="C40" s="1"/>
    </row>
    <row r="41" spans="2:3">
      <c r="B41" s="1"/>
      <c r="C41" s="1"/>
    </row>
    <row r="42" spans="2:3">
      <c r="B42" s="1"/>
      <c r="C42" s="1"/>
    </row>
    <row r="43" spans="2:3">
      <c r="B43" s="1"/>
      <c r="C43" s="1"/>
    </row>
  </sheetData>
  <mergeCells count="2">
    <mergeCell ref="B2:M5"/>
    <mergeCell ref="B33:C33"/>
  </mergeCells>
  <hyperlinks>
    <hyperlink ref="K16" r:id="rId1" display="https://growjo.com/company/Gnosis" xr:uid="{4E3B62D6-EBA5-4ABA-98E1-805952C95879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F494-5118-46BD-B0FE-72A3DF34439D}">
  <dimension ref="B1:N42"/>
  <sheetViews>
    <sheetView zoomScale="70" zoomScaleNormal="70" workbookViewId="0">
      <selection activeCell="X18" sqref="X18"/>
    </sheetView>
  </sheetViews>
  <sheetFormatPr defaultRowHeight="14.5"/>
  <cols>
    <col min="2" max="2" width="19.36328125" bestFit="1" customWidth="1"/>
    <col min="3" max="3" width="11.81640625" bestFit="1" customWidth="1"/>
    <col min="4" max="4" width="13.90625" customWidth="1"/>
    <col min="5" max="5" width="12.453125" customWidth="1"/>
    <col min="6" max="6" width="11.81640625" bestFit="1" customWidth="1"/>
    <col min="7" max="7" width="12.81640625" bestFit="1" customWidth="1"/>
    <col min="8" max="8" width="11.81640625" bestFit="1" customWidth="1"/>
    <col min="10" max="10" width="12" bestFit="1" customWidth="1"/>
  </cols>
  <sheetData>
    <row r="1" spans="2:14" ht="15" thickBot="1"/>
    <row r="2" spans="2:14">
      <c r="B2" s="92" t="s">
        <v>402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</row>
    <row r="3" spans="2:14" ht="15" thickBot="1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4">
      <c r="B4" s="82" t="s">
        <v>310</v>
      </c>
      <c r="C4" s="19"/>
      <c r="N4" s="30"/>
    </row>
    <row r="5" spans="2:14">
      <c r="B5" s="45" t="s">
        <v>311</v>
      </c>
      <c r="C5">
        <v>0.67562504275879953</v>
      </c>
      <c r="N5" s="30"/>
    </row>
    <row r="6" spans="2:14">
      <c r="B6" s="45" t="s">
        <v>312</v>
      </c>
      <c r="C6">
        <v>0.45646919840282968</v>
      </c>
      <c r="D6" t="s">
        <v>403</v>
      </c>
      <c r="N6" s="30"/>
    </row>
    <row r="7" spans="2:14">
      <c r="B7" s="45" t="s">
        <v>313</v>
      </c>
      <c r="C7">
        <v>0.37882194103180533</v>
      </c>
      <c r="D7" t="s">
        <v>404</v>
      </c>
      <c r="N7" s="30"/>
    </row>
    <row r="8" spans="2:14">
      <c r="B8" s="45" t="s">
        <v>314</v>
      </c>
      <c r="C8">
        <v>105.69737467976282</v>
      </c>
      <c r="N8" s="30"/>
    </row>
    <row r="9" spans="2:14" ht="15" thickBot="1">
      <c r="B9" s="34" t="s">
        <v>315</v>
      </c>
      <c r="C9" s="17">
        <v>25</v>
      </c>
      <c r="N9" s="30"/>
    </row>
    <row r="10" spans="2:14">
      <c r="B10" s="45"/>
      <c r="N10" s="30"/>
    </row>
    <row r="11" spans="2:14" ht="15" thickBot="1">
      <c r="B11" s="45" t="s">
        <v>316</v>
      </c>
      <c r="N11" s="30"/>
    </row>
    <row r="12" spans="2:14">
      <c r="B12" s="83"/>
      <c r="C12" s="18" t="s">
        <v>321</v>
      </c>
      <c r="D12" s="18" t="s">
        <v>322</v>
      </c>
      <c r="E12" s="18" t="s">
        <v>323</v>
      </c>
      <c r="F12" s="18" t="s">
        <v>324</v>
      </c>
      <c r="G12" s="18" t="s">
        <v>325</v>
      </c>
      <c r="N12" s="30"/>
    </row>
    <row r="13" spans="2:14">
      <c r="B13" s="45" t="s">
        <v>317</v>
      </c>
      <c r="C13">
        <v>3</v>
      </c>
      <c r="D13">
        <v>197031.20470192246</v>
      </c>
      <c r="E13">
        <v>65677.068233974147</v>
      </c>
      <c r="F13">
        <v>5.878754947153749</v>
      </c>
      <c r="G13">
        <v>4.4530646571982763E-3</v>
      </c>
      <c r="H13" s="84" t="s">
        <v>336</v>
      </c>
      <c r="I13" s="84" t="s">
        <v>405</v>
      </c>
      <c r="N13" s="30"/>
    </row>
    <row r="14" spans="2:14">
      <c r="B14" s="45" t="s">
        <v>318</v>
      </c>
      <c r="C14">
        <v>21</v>
      </c>
      <c r="D14">
        <v>234610.63529807751</v>
      </c>
      <c r="E14">
        <v>11171.935014194167</v>
      </c>
      <c r="N14" s="30"/>
    </row>
    <row r="15" spans="2:14" ht="15" thickBot="1">
      <c r="B15" s="34" t="s">
        <v>319</v>
      </c>
      <c r="C15" s="17">
        <v>24</v>
      </c>
      <c r="D15" s="17">
        <v>431641.83999999997</v>
      </c>
      <c r="E15" s="17"/>
      <c r="F15" s="17"/>
      <c r="G15" s="17"/>
      <c r="N15" s="30"/>
    </row>
    <row r="16" spans="2:14" ht="15" thickBot="1">
      <c r="B16" s="45"/>
      <c r="N16" s="30"/>
    </row>
    <row r="17" spans="2:14">
      <c r="B17" s="83"/>
      <c r="C17" s="18" t="s">
        <v>326</v>
      </c>
      <c r="D17" s="18" t="s">
        <v>314</v>
      </c>
      <c r="E17" s="18" t="s">
        <v>327</v>
      </c>
      <c r="F17" s="21" t="s">
        <v>328</v>
      </c>
      <c r="G17" s="18" t="s">
        <v>329</v>
      </c>
      <c r="H17" s="18" t="s">
        <v>330</v>
      </c>
      <c r="I17" s="18" t="s">
        <v>331</v>
      </c>
      <c r="J17" s="18" t="s">
        <v>332</v>
      </c>
      <c r="N17" s="30"/>
    </row>
    <row r="18" spans="2:14">
      <c r="B18" s="45" t="s">
        <v>320</v>
      </c>
      <c r="C18">
        <v>111.44254771082333</v>
      </c>
      <c r="D18">
        <v>59.369034434212658</v>
      </c>
      <c r="E18">
        <v>1.8771157182000962</v>
      </c>
      <c r="F18" s="22">
        <v>7.4465341651944669E-2</v>
      </c>
      <c r="G18">
        <v>-12.022118246679668</v>
      </c>
      <c r="H18">
        <v>234.90721366832634</v>
      </c>
      <c r="I18">
        <v>-12.022118246679668</v>
      </c>
      <c r="J18">
        <v>234.90721366832634</v>
      </c>
      <c r="N18" s="30"/>
    </row>
    <row r="19" spans="2:14">
      <c r="B19" s="45" t="s">
        <v>334</v>
      </c>
      <c r="C19">
        <v>3.6391929889855498E-4</v>
      </c>
      <c r="D19">
        <v>2.4005684694003432E-4</v>
      </c>
      <c r="E19">
        <v>1.5159713356955873</v>
      </c>
      <c r="F19" s="22">
        <v>0.14443565599241184</v>
      </c>
      <c r="G19">
        <v>-1.3530624351961395E-4</v>
      </c>
      <c r="H19">
        <v>8.631448413167239E-4</v>
      </c>
      <c r="I19">
        <v>-1.3530624351961395E-4</v>
      </c>
      <c r="J19">
        <v>8.631448413167239E-4</v>
      </c>
      <c r="N19" s="30"/>
    </row>
    <row r="20" spans="2:14">
      <c r="B20" s="45" t="s">
        <v>338</v>
      </c>
      <c r="C20">
        <v>2.0472692357323291E-5</v>
      </c>
      <c r="D20">
        <v>2.1503700714789155E-5</v>
      </c>
      <c r="E20">
        <v>0.95205437561001827</v>
      </c>
      <c r="F20" s="22">
        <v>0.35189975160387532</v>
      </c>
      <c r="G20">
        <v>-2.4246701362032739E-5</v>
      </c>
      <c r="H20">
        <v>6.5192086076679322E-5</v>
      </c>
      <c r="I20">
        <v>-2.4246701362032739E-5</v>
      </c>
      <c r="J20">
        <v>6.5192086076679322E-5</v>
      </c>
      <c r="N20" s="30"/>
    </row>
    <row r="21" spans="2:14" ht="15" thickBot="1">
      <c r="B21" s="34" t="s">
        <v>339</v>
      </c>
      <c r="C21" s="17">
        <v>-4.2689034569097549E-4</v>
      </c>
      <c r="D21" s="17">
        <v>2.2262230568095015E-4</v>
      </c>
      <c r="E21" s="17">
        <v>-1.9175542378164516</v>
      </c>
      <c r="F21" s="20">
        <v>6.8870562825955425E-2</v>
      </c>
      <c r="G21" s="17">
        <v>-8.8985877473027699E-4</v>
      </c>
      <c r="H21" s="17">
        <v>3.607808334832606E-5</v>
      </c>
      <c r="I21" s="17">
        <v>-8.8985877473027699E-4</v>
      </c>
      <c r="J21" s="17">
        <v>3.607808334832606E-5</v>
      </c>
      <c r="N21" s="30"/>
    </row>
    <row r="22" spans="2:14" ht="15" thickBot="1">
      <c r="B22" s="34"/>
      <c r="C22" s="17"/>
      <c r="D22" s="17"/>
      <c r="E22" s="17"/>
      <c r="F22" s="85" t="s">
        <v>407</v>
      </c>
      <c r="G22" s="85" t="s">
        <v>408</v>
      </c>
      <c r="H22" s="85"/>
      <c r="I22" s="85"/>
      <c r="J22" s="85"/>
      <c r="K22" s="17"/>
      <c r="L22" s="17"/>
      <c r="M22" s="17"/>
      <c r="N22" s="56"/>
    </row>
    <row r="23" spans="2:14" ht="15" thickBot="1"/>
    <row r="24" spans="2:14">
      <c r="B24" s="92" t="s">
        <v>406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4"/>
    </row>
    <row r="25" spans="2:14" ht="15" thickBot="1">
      <c r="B25" s="95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7"/>
    </row>
    <row r="26" spans="2:14">
      <c r="B26" s="82" t="s">
        <v>310</v>
      </c>
      <c r="C26" s="19"/>
      <c r="N26" s="30"/>
    </row>
    <row r="27" spans="2:14">
      <c r="B27" s="45" t="s">
        <v>311</v>
      </c>
      <c r="C27">
        <v>0.60074943271638204</v>
      </c>
      <c r="N27" s="30"/>
    </row>
    <row r="28" spans="2:14">
      <c r="B28" s="45" t="s">
        <v>312</v>
      </c>
      <c r="C28" s="22">
        <v>0.36089988090905478</v>
      </c>
      <c r="D28" t="s">
        <v>409</v>
      </c>
      <c r="N28" s="30"/>
    </row>
    <row r="29" spans="2:14">
      <c r="B29" s="45" t="s">
        <v>313</v>
      </c>
      <c r="C29">
        <v>0.33311291920944841</v>
      </c>
      <c r="D29" t="s">
        <v>410</v>
      </c>
      <c r="N29" s="30"/>
    </row>
    <row r="30" spans="2:14">
      <c r="B30" s="45" t="s">
        <v>314</v>
      </c>
      <c r="C30">
        <v>109.51719169165906</v>
      </c>
      <c r="N30" s="30"/>
    </row>
    <row r="31" spans="2:14" ht="15" thickBot="1">
      <c r="B31" s="34" t="s">
        <v>315</v>
      </c>
      <c r="C31" s="20">
        <v>25</v>
      </c>
      <c r="N31" s="30"/>
    </row>
    <row r="32" spans="2:14">
      <c r="B32" s="45"/>
      <c r="N32" s="30"/>
    </row>
    <row r="33" spans="2:14" ht="15" thickBot="1">
      <c r="B33" s="45" t="s">
        <v>316</v>
      </c>
      <c r="N33" s="30"/>
    </row>
    <row r="34" spans="2:14">
      <c r="B34" s="83"/>
      <c r="C34" s="18" t="s">
        <v>321</v>
      </c>
      <c r="D34" s="18" t="s">
        <v>322</v>
      </c>
      <c r="E34" s="18" t="s">
        <v>323</v>
      </c>
      <c r="F34" s="18" t="s">
        <v>324</v>
      </c>
      <c r="G34" s="18" t="s">
        <v>325</v>
      </c>
      <c r="N34" s="30"/>
    </row>
    <row r="35" spans="2:14">
      <c r="B35" s="45" t="s">
        <v>317</v>
      </c>
      <c r="C35">
        <v>1</v>
      </c>
      <c r="D35">
        <v>155779.48865136527</v>
      </c>
      <c r="E35">
        <v>155779.48865136527</v>
      </c>
      <c r="F35">
        <v>12.988101571182863</v>
      </c>
      <c r="G35" s="22">
        <v>1.4956851036319362E-3</v>
      </c>
      <c r="H35" s="84" t="s">
        <v>336</v>
      </c>
      <c r="I35" s="84" t="s">
        <v>405</v>
      </c>
      <c r="N35" s="30"/>
    </row>
    <row r="36" spans="2:14">
      <c r="B36" s="45" t="s">
        <v>318</v>
      </c>
      <c r="C36">
        <v>23</v>
      </c>
      <c r="D36">
        <v>275862.35134863469</v>
      </c>
      <c r="E36">
        <v>11994.015276027596</v>
      </c>
      <c r="N36" s="30"/>
    </row>
    <row r="37" spans="2:14" ht="15" thickBot="1">
      <c r="B37" s="34" t="s">
        <v>319</v>
      </c>
      <c r="C37" s="17">
        <v>24</v>
      </c>
      <c r="D37" s="17">
        <v>431641.83999999997</v>
      </c>
      <c r="E37" s="17"/>
      <c r="F37" s="17"/>
      <c r="G37" s="17"/>
      <c r="N37" s="30"/>
    </row>
    <row r="38" spans="2:14" ht="15" thickBot="1">
      <c r="B38" s="45"/>
      <c r="N38" s="30"/>
    </row>
    <row r="39" spans="2:14">
      <c r="B39" s="83"/>
      <c r="C39" s="21" t="s">
        <v>326</v>
      </c>
      <c r="D39" s="18" t="s">
        <v>314</v>
      </c>
      <c r="E39" s="18" t="s">
        <v>327</v>
      </c>
      <c r="F39" s="18" t="s">
        <v>328</v>
      </c>
      <c r="G39" s="18" t="s">
        <v>329</v>
      </c>
      <c r="H39" s="18" t="s">
        <v>330</v>
      </c>
      <c r="I39" s="18" t="s">
        <v>331</v>
      </c>
      <c r="J39" s="18" t="s">
        <v>332</v>
      </c>
      <c r="N39" s="30"/>
    </row>
    <row r="40" spans="2:14">
      <c r="B40" s="45" t="s">
        <v>320</v>
      </c>
      <c r="C40" s="22">
        <v>145.99795417480368</v>
      </c>
      <c r="D40">
        <v>30.808688985723098</v>
      </c>
      <c r="E40">
        <v>4.7388564389240928</v>
      </c>
      <c r="F40">
        <v>8.9249564220455715E-5</v>
      </c>
      <c r="G40">
        <v>82.265325237454064</v>
      </c>
      <c r="H40">
        <v>209.73058311215328</v>
      </c>
      <c r="I40">
        <v>82.265325237454064</v>
      </c>
      <c r="J40">
        <v>209.73058311215328</v>
      </c>
      <c r="N40" s="30"/>
    </row>
    <row r="41" spans="2:14" ht="15" thickBot="1">
      <c r="B41" s="34" t="s">
        <v>334</v>
      </c>
      <c r="C41" s="20">
        <v>4.4417615346928623E-4</v>
      </c>
      <c r="D41" s="17">
        <v>1.2324871519664514E-4</v>
      </c>
      <c r="E41" s="17">
        <v>3.6039008825414256</v>
      </c>
      <c r="F41" s="17">
        <v>1.4956851036319334E-3</v>
      </c>
      <c r="G41" s="17">
        <v>1.8921676080337638E-4</v>
      </c>
      <c r="H41" s="17">
        <v>6.9913554613519613E-4</v>
      </c>
      <c r="I41" s="17">
        <v>1.8921676080337638E-4</v>
      </c>
      <c r="J41" s="17">
        <v>6.9913554613519613E-4</v>
      </c>
      <c r="N41" s="30"/>
    </row>
    <row r="42" spans="2:14" ht="15" thickBot="1">
      <c r="B42" s="34"/>
      <c r="C42" s="17"/>
      <c r="D42" s="17"/>
      <c r="E42" s="17"/>
      <c r="F42" s="85" t="s">
        <v>336</v>
      </c>
      <c r="G42" s="85" t="s">
        <v>337</v>
      </c>
      <c r="H42" s="17"/>
      <c r="I42" s="17"/>
      <c r="J42" s="17"/>
      <c r="K42" s="17"/>
      <c r="L42" s="17"/>
      <c r="M42" s="17"/>
      <c r="N42" s="56"/>
    </row>
  </sheetData>
  <mergeCells count="2">
    <mergeCell ref="B2:N3"/>
    <mergeCell ref="B24:N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DF9F-A28E-4BE6-B1D9-C2195D224C8F}">
  <dimension ref="A1:BB85"/>
  <sheetViews>
    <sheetView workbookViewId="0">
      <selection activeCell="B1" sqref="B1:BB1"/>
    </sheetView>
  </sheetViews>
  <sheetFormatPr defaultRowHeight="14.5"/>
  <cols>
    <col min="1" max="1" width="17" bestFit="1" customWidth="1"/>
    <col min="2" max="2" width="7.26953125" bestFit="1" customWidth="1"/>
    <col min="3" max="3" width="10.08984375" bestFit="1" customWidth="1"/>
    <col min="4" max="4" width="38.7265625" bestFit="1" customWidth="1"/>
    <col min="5" max="5" width="9.81640625" bestFit="1" customWidth="1"/>
    <col min="6" max="6" width="9.90625" bestFit="1" customWidth="1"/>
    <col min="7" max="7" width="9" bestFit="1" customWidth="1"/>
    <col min="8" max="9" width="9.90625" bestFit="1" customWidth="1"/>
    <col min="10" max="10" width="10.81640625" bestFit="1" customWidth="1"/>
    <col min="11" max="11" width="9.81640625" bestFit="1" customWidth="1"/>
    <col min="12" max="12" width="7.36328125" bestFit="1" customWidth="1"/>
    <col min="13" max="13" width="16.81640625" bestFit="1" customWidth="1"/>
    <col min="14" max="14" width="23.36328125" bestFit="1" customWidth="1"/>
    <col min="15" max="15" width="24.81640625" bestFit="1" customWidth="1"/>
    <col min="16" max="16" width="15.6328125" bestFit="1" customWidth="1"/>
    <col min="17" max="17" width="16.81640625" bestFit="1" customWidth="1"/>
    <col min="18" max="18" width="9.90625" bestFit="1" customWidth="1"/>
    <col min="19" max="19" width="9" bestFit="1" customWidth="1"/>
    <col min="20" max="21" width="9.90625" bestFit="1" customWidth="1"/>
    <col min="22" max="22" width="10.81640625" bestFit="1" customWidth="1"/>
    <col min="23" max="24" width="16.81640625" bestFit="1" customWidth="1"/>
    <col min="25" max="26" width="15.81640625" bestFit="1" customWidth="1"/>
    <col min="27" max="27" width="19.36328125" bestFit="1" customWidth="1"/>
    <col min="28" max="28" width="14.36328125" bestFit="1" customWidth="1"/>
    <col min="29" max="29" width="9" bestFit="1" customWidth="1"/>
    <col min="30" max="30" width="15.81640625" bestFit="1" customWidth="1"/>
    <col min="31" max="31" width="9.90625" bestFit="1" customWidth="1"/>
    <col min="32" max="32" width="15.81640625" bestFit="1" customWidth="1"/>
    <col min="33" max="33" width="9.90625" bestFit="1" customWidth="1"/>
    <col min="34" max="34" width="15.90625" bestFit="1" customWidth="1"/>
    <col min="35" max="35" width="10.81640625" bestFit="1" customWidth="1"/>
    <col min="36" max="36" width="16.90625" bestFit="1" customWidth="1"/>
    <col min="37" max="37" width="9" bestFit="1" customWidth="1"/>
    <col min="38" max="38" width="17.81640625" bestFit="1" customWidth="1"/>
    <col min="39" max="39" width="9.90625" bestFit="1" customWidth="1"/>
    <col min="40" max="40" width="17.81640625" bestFit="1" customWidth="1"/>
    <col min="41" max="41" width="9.90625" bestFit="1" customWidth="1"/>
    <col min="42" max="42" width="18.81640625" bestFit="1" customWidth="1"/>
    <col min="43" max="43" width="10.81640625" bestFit="1" customWidth="1"/>
    <col min="44" max="44" width="12.7265625" bestFit="1" customWidth="1"/>
    <col min="45" max="45" width="9.90625" bestFit="1" customWidth="1"/>
    <col min="46" max="46" width="9" bestFit="1" customWidth="1"/>
    <col min="47" max="48" width="9.90625" bestFit="1" customWidth="1"/>
    <col min="49" max="49" width="10.81640625" bestFit="1" customWidth="1"/>
    <col min="50" max="50" width="13.90625" bestFit="1" customWidth="1"/>
    <col min="51" max="52" width="14.81640625" bestFit="1" customWidth="1"/>
    <col min="53" max="53" width="15.7265625" bestFit="1" customWidth="1"/>
    <col min="54" max="54" width="18.81640625" bestFit="1" customWidth="1"/>
  </cols>
  <sheetData>
    <row r="1" spans="1:54" ht="91" thickTop="1" thickBot="1">
      <c r="A1" s="3" t="s">
        <v>27</v>
      </c>
      <c r="B1" s="101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3"/>
    </row>
    <row r="2" spans="1:54" ht="15.5" thickTop="1" thickBot="1">
      <c r="A2" s="4"/>
      <c r="B2" s="104" t="s">
        <v>28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3"/>
      <c r="Q2" s="105" t="s">
        <v>29</v>
      </c>
      <c r="R2" s="102"/>
      <c r="S2" s="102"/>
      <c r="T2" s="102"/>
      <c r="U2" s="102"/>
      <c r="V2" s="102"/>
      <c r="W2" s="102"/>
      <c r="X2" s="102"/>
      <c r="Y2" s="102"/>
      <c r="Z2" s="103"/>
      <c r="AA2" s="5" t="s">
        <v>30</v>
      </c>
      <c r="AB2" s="106" t="s">
        <v>31</v>
      </c>
      <c r="AC2" s="102"/>
      <c r="AD2" s="102"/>
      <c r="AE2" s="102"/>
      <c r="AF2" s="102"/>
      <c r="AG2" s="102"/>
      <c r="AH2" s="102"/>
      <c r="AI2" s="103"/>
      <c r="AJ2" s="107" t="s">
        <v>32</v>
      </c>
      <c r="AK2" s="102"/>
      <c r="AL2" s="102"/>
      <c r="AM2" s="102"/>
      <c r="AN2" s="102"/>
      <c r="AO2" s="102"/>
      <c r="AP2" s="102"/>
      <c r="AQ2" s="103"/>
      <c r="AR2" s="108" t="s">
        <v>33</v>
      </c>
      <c r="AS2" s="102"/>
      <c r="AT2" s="102"/>
      <c r="AU2" s="102"/>
      <c r="AV2" s="102"/>
      <c r="AW2" s="102"/>
      <c r="AX2" s="102"/>
      <c r="AY2" s="102"/>
      <c r="AZ2" s="102"/>
      <c r="BA2" s="103"/>
      <c r="BB2" s="6" t="s">
        <v>34</v>
      </c>
    </row>
    <row r="3" spans="1:54" ht="15.5" thickTop="1" thickBot="1">
      <c r="A3" s="7" t="s">
        <v>35</v>
      </c>
      <c r="B3" s="7" t="s">
        <v>36</v>
      </c>
      <c r="C3" s="7" t="s">
        <v>37</v>
      </c>
      <c r="D3" s="7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43</v>
      </c>
      <c r="J3" s="8" t="s">
        <v>44</v>
      </c>
      <c r="K3" s="8" t="s">
        <v>45</v>
      </c>
      <c r="L3" s="8" t="s">
        <v>46</v>
      </c>
      <c r="M3" s="8" t="s">
        <v>47</v>
      </c>
      <c r="N3" s="8" t="s">
        <v>48</v>
      </c>
      <c r="O3" s="8" t="s">
        <v>49</v>
      </c>
      <c r="P3" s="8" t="s">
        <v>50</v>
      </c>
      <c r="Q3" s="8" t="s">
        <v>51</v>
      </c>
      <c r="R3" s="8" t="s">
        <v>40</v>
      </c>
      <c r="S3" s="8" t="s">
        <v>41</v>
      </c>
      <c r="T3" s="8" t="s">
        <v>42</v>
      </c>
      <c r="U3" s="8" t="s">
        <v>43</v>
      </c>
      <c r="V3" s="8" t="s">
        <v>44</v>
      </c>
      <c r="W3" s="8" t="s">
        <v>52</v>
      </c>
      <c r="X3" s="8" t="s">
        <v>53</v>
      </c>
      <c r="Y3" s="8" t="s">
        <v>54</v>
      </c>
      <c r="Z3" s="8" t="s">
        <v>55</v>
      </c>
      <c r="AA3" s="8" t="s">
        <v>56</v>
      </c>
      <c r="AB3" s="8" t="s">
        <v>57</v>
      </c>
      <c r="AC3" s="8" t="s">
        <v>41</v>
      </c>
      <c r="AD3" s="8" t="s">
        <v>58</v>
      </c>
      <c r="AE3" s="8" t="s">
        <v>42</v>
      </c>
      <c r="AF3" s="8" t="s">
        <v>59</v>
      </c>
      <c r="AG3" s="8" t="s">
        <v>43</v>
      </c>
      <c r="AH3" s="8" t="s">
        <v>60</v>
      </c>
      <c r="AI3" s="8" t="s">
        <v>44</v>
      </c>
      <c r="AJ3" s="8" t="s">
        <v>61</v>
      </c>
      <c r="AK3" s="8" t="s">
        <v>41</v>
      </c>
      <c r="AL3" s="8" t="s">
        <v>62</v>
      </c>
      <c r="AM3" s="8" t="s">
        <v>42</v>
      </c>
      <c r="AN3" s="8" t="s">
        <v>63</v>
      </c>
      <c r="AO3" s="8" t="s">
        <v>43</v>
      </c>
      <c r="AP3" s="8" t="s">
        <v>64</v>
      </c>
      <c r="AQ3" s="8" t="s">
        <v>44</v>
      </c>
      <c r="AR3" s="8" t="s">
        <v>65</v>
      </c>
      <c r="AS3" s="8" t="s">
        <v>40</v>
      </c>
      <c r="AT3" s="8" t="s">
        <v>41</v>
      </c>
      <c r="AU3" s="8" t="s">
        <v>42</v>
      </c>
      <c r="AV3" s="8" t="s">
        <v>43</v>
      </c>
      <c r="AW3" s="8" t="s">
        <v>44</v>
      </c>
      <c r="AX3" s="8" t="s">
        <v>66</v>
      </c>
      <c r="AY3" s="8" t="s">
        <v>67</v>
      </c>
      <c r="AZ3" s="8" t="s">
        <v>68</v>
      </c>
      <c r="BA3" s="8" t="s">
        <v>69</v>
      </c>
      <c r="BB3" s="8" t="s">
        <v>70</v>
      </c>
    </row>
    <row r="4" spans="1:54" ht="15.5" thickTop="1" thickBot="1">
      <c r="A4" s="9" t="s">
        <v>71</v>
      </c>
      <c r="B4" s="10" t="s">
        <v>72</v>
      </c>
      <c r="C4" s="10" t="s">
        <v>73</v>
      </c>
      <c r="D4" s="10" t="s">
        <v>74</v>
      </c>
      <c r="E4" s="11">
        <v>0.90706100000000001</v>
      </c>
      <c r="F4" s="12">
        <v>0.10703847668552929</v>
      </c>
      <c r="G4" s="13">
        <v>-0.40235190927563302</v>
      </c>
      <c r="H4" s="13">
        <v>-0.35046608787244637</v>
      </c>
      <c r="I4" s="13">
        <v>-0.41978239867546507</v>
      </c>
      <c r="J4" s="12">
        <v>0.99653022157592108</v>
      </c>
      <c r="K4" s="11">
        <v>2.5</v>
      </c>
      <c r="L4" s="11">
        <v>0.120667</v>
      </c>
      <c r="M4" s="11">
        <v>270014833.91883916</v>
      </c>
      <c r="N4" s="11">
        <v>765019977.20989263</v>
      </c>
      <c r="O4" s="11">
        <v>907061000</v>
      </c>
      <c r="P4" s="12">
        <v>0.30335272531464719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1">
        <v>163018866897.06873</v>
      </c>
      <c r="AB4" s="11">
        <v>304258.26151657104</v>
      </c>
      <c r="AC4" s="12">
        <v>9.682720758615071E-2</v>
      </c>
      <c r="AD4" s="11">
        <v>1127205.2126698494</v>
      </c>
      <c r="AE4" s="12">
        <v>1.2395465733583468</v>
      </c>
      <c r="AF4" s="11">
        <v>2216957.1886444688</v>
      </c>
      <c r="AG4" s="12">
        <v>0.58523423448628553</v>
      </c>
      <c r="AH4" s="11">
        <v>3334105.2449054457</v>
      </c>
      <c r="AI4" s="12">
        <v>23.478473986434164</v>
      </c>
      <c r="AJ4" s="11">
        <v>304258.26151657104</v>
      </c>
      <c r="AK4" s="12">
        <v>9.682720758615071E-2</v>
      </c>
      <c r="AL4" s="11">
        <v>1127205.2126698494</v>
      </c>
      <c r="AM4" s="12">
        <v>1.2395465733583468</v>
      </c>
      <c r="AN4" s="11">
        <v>2216957.1886444688</v>
      </c>
      <c r="AO4" s="12">
        <v>0.58523423448628553</v>
      </c>
      <c r="AP4" s="11">
        <v>3334105.2449054457</v>
      </c>
      <c r="AQ4" s="12">
        <v>23.478473986434164</v>
      </c>
      <c r="AR4" s="14">
        <v>68.344305604990566</v>
      </c>
      <c r="AS4" s="13">
        <v>-9.7799426451910199E-2</v>
      </c>
      <c r="AT4" s="13">
        <v>-0.3129377487064412</v>
      </c>
      <c r="AU4" s="13">
        <v>-0.66483614572476335</v>
      </c>
      <c r="AV4" s="13">
        <v>-0.70743154704009203</v>
      </c>
      <c r="AW4" s="13">
        <v>-0.74057590248024419</v>
      </c>
      <c r="AX4" s="14">
        <v>99.473236197034666</v>
      </c>
      <c r="AY4" s="14">
        <v>203.91311513223678</v>
      </c>
      <c r="AZ4" s="14">
        <v>233.60107664908116</v>
      </c>
      <c r="BA4" s="14">
        <v>263.44624982182302</v>
      </c>
      <c r="BB4" s="10">
        <v>216397</v>
      </c>
    </row>
    <row r="5" spans="1:54" ht="15.5" thickTop="1" thickBot="1">
      <c r="A5" s="9" t="s">
        <v>75</v>
      </c>
      <c r="B5" s="10" t="s">
        <v>76</v>
      </c>
      <c r="C5" s="10" t="s">
        <v>77</v>
      </c>
      <c r="D5" s="10" t="s">
        <v>78</v>
      </c>
      <c r="E5" s="11">
        <v>46.97</v>
      </c>
      <c r="F5" s="12">
        <v>9.1601022813853156E-2</v>
      </c>
      <c r="G5" s="13">
        <v>-0.56087289768956783</v>
      </c>
      <c r="H5" s="13">
        <v>-0.56405280909223554</v>
      </c>
      <c r="I5" s="13">
        <v>-0.56777604452620256</v>
      </c>
      <c r="J5" s="12">
        <v>6.2370718393418789E-2</v>
      </c>
      <c r="K5" s="11">
        <v>236.5</v>
      </c>
      <c r="L5" s="11">
        <v>20.21</v>
      </c>
      <c r="M5" s="11">
        <v>1027323.9003457401</v>
      </c>
      <c r="N5" s="11">
        <v>17269062.641029369</v>
      </c>
      <c r="O5" s="11">
        <v>18583868.379999999</v>
      </c>
      <c r="P5" s="12">
        <v>3.2602242280152613E-2</v>
      </c>
      <c r="Q5" s="11">
        <v>36197691.114543401</v>
      </c>
      <c r="R5" s="13">
        <v>-3.3558483140127104E-2</v>
      </c>
      <c r="S5" s="13">
        <v>-0.11415358594102687</v>
      </c>
      <c r="T5" s="13">
        <v>-0.17391464574887117</v>
      </c>
      <c r="U5" s="12">
        <v>1.1792279340750556E-2</v>
      </c>
      <c r="V5" s="12">
        <v>0.58452992890995747</v>
      </c>
      <c r="W5" s="11">
        <v>40862265.218961112</v>
      </c>
      <c r="X5" s="11">
        <v>43818342.654625192</v>
      </c>
      <c r="Y5" s="11">
        <v>35775812.737105079</v>
      </c>
      <c r="Z5" s="11">
        <v>22844435.093406413</v>
      </c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>
        <v>11284</v>
      </c>
    </row>
    <row r="6" spans="1:54" ht="15.5" thickTop="1" thickBot="1">
      <c r="A6" s="9" t="s">
        <v>79</v>
      </c>
      <c r="B6" s="10" t="s">
        <v>80</v>
      </c>
      <c r="C6" s="10" t="s">
        <v>81</v>
      </c>
      <c r="D6" s="10" t="s">
        <v>78</v>
      </c>
      <c r="E6" s="11">
        <v>331.88</v>
      </c>
      <c r="F6" s="12">
        <v>0.15937335234127092</v>
      </c>
      <c r="G6" s="13">
        <v>-0.39636759874848471</v>
      </c>
      <c r="H6" s="12">
        <v>4.4495004414697448E-3</v>
      </c>
      <c r="I6" s="13">
        <v>-0.1296904037000739</v>
      </c>
      <c r="J6" s="12">
        <v>4.1241903305033807</v>
      </c>
      <c r="K6" s="11">
        <v>661.69</v>
      </c>
      <c r="L6" s="11">
        <v>26.02</v>
      </c>
      <c r="M6" s="11">
        <v>1418119493.9729784</v>
      </c>
      <c r="N6" s="11">
        <v>4199475108.1104546</v>
      </c>
      <c r="O6" s="11">
        <v>5310080000</v>
      </c>
      <c r="P6" s="12">
        <v>0.18857958659909668</v>
      </c>
      <c r="Q6" s="11">
        <v>10506610171.623491</v>
      </c>
      <c r="R6" s="13">
        <v>-5.1021407723025547E-2</v>
      </c>
      <c r="S6" s="13">
        <v>-0.15439516269918052</v>
      </c>
      <c r="T6" s="13">
        <v>-3.4643737719932788E-2</v>
      </c>
      <c r="U6" s="12">
        <v>0.42553115676182962</v>
      </c>
      <c r="V6" s="12">
        <v>1.092489126758232</v>
      </c>
      <c r="W6" s="11">
        <v>12424964603.041668</v>
      </c>
      <c r="X6" s="11">
        <v>10883660864.029631</v>
      </c>
      <c r="Y6" s="11">
        <v>7370312547.5628462</v>
      </c>
      <c r="Z6" s="11">
        <v>5021106220.944026</v>
      </c>
      <c r="AA6" s="11">
        <v>5500546592.1143618</v>
      </c>
      <c r="AB6" s="11">
        <v>8129873.5657715248</v>
      </c>
      <c r="AC6" s="12">
        <v>0.15120586802362013</v>
      </c>
      <c r="AD6" s="11">
        <v>32423092.994276233</v>
      </c>
      <c r="AE6" s="12">
        <v>1.4837324903872613</v>
      </c>
      <c r="AF6" s="11">
        <v>55098784.837267034</v>
      </c>
      <c r="AG6" s="12">
        <v>2.3932114755366065</v>
      </c>
      <c r="AH6" s="11">
        <v>70425502.402579188</v>
      </c>
      <c r="AI6" s="12">
        <v>29.709801673639259</v>
      </c>
      <c r="AJ6" s="11">
        <v>760441.97616379417</v>
      </c>
      <c r="AK6" s="12">
        <v>0.18732081412352919</v>
      </c>
      <c r="AL6" s="11">
        <v>2986505.4705706257</v>
      </c>
      <c r="AM6" s="12">
        <v>2.5899863357555097</v>
      </c>
      <c r="AN6" s="11">
        <v>4425182.7854519216</v>
      </c>
      <c r="AO6" s="12">
        <v>6.298390194796422</v>
      </c>
      <c r="AP6" s="11">
        <v>4994487.5392314456</v>
      </c>
      <c r="AQ6" s="12">
        <v>101.00345947997204</v>
      </c>
      <c r="AR6" s="14">
        <v>13.909625956105616</v>
      </c>
      <c r="AS6" s="13">
        <v>-9.0917009719913899E-2</v>
      </c>
      <c r="AT6" s="13">
        <v>-0.34089113869145926</v>
      </c>
      <c r="AU6" s="13">
        <v>-0.56422242635772446</v>
      </c>
      <c r="AV6" s="13">
        <v>-0.66893695833216205</v>
      </c>
      <c r="AW6" s="13">
        <v>-0.75651965255289821</v>
      </c>
      <c r="AX6" s="14">
        <v>21.10368525237331</v>
      </c>
      <c r="AY6" s="14">
        <v>31.919095422574124</v>
      </c>
      <c r="AZ6" s="14">
        <v>42.015037033524912</v>
      </c>
      <c r="BA6" s="14">
        <v>57.128331308659746</v>
      </c>
      <c r="BB6" s="10">
        <v>214534</v>
      </c>
    </row>
    <row r="7" spans="1:54" ht="15.5" thickTop="1" thickBot="1">
      <c r="A7" s="9" t="s">
        <v>82</v>
      </c>
      <c r="B7" s="10" t="s">
        <v>83</v>
      </c>
      <c r="C7" s="10" t="s">
        <v>84</v>
      </c>
      <c r="D7" s="10" t="s">
        <v>85</v>
      </c>
      <c r="E7" s="11">
        <v>743.64</v>
      </c>
      <c r="F7" s="12">
        <v>2.1960944488893571E-2</v>
      </c>
      <c r="G7" s="13">
        <v>-0.42644238247245214</v>
      </c>
      <c r="H7" s="13">
        <v>-0.44088071941122597</v>
      </c>
      <c r="I7" s="10"/>
      <c r="J7" s="10"/>
      <c r="K7" s="11">
        <v>2066.1999999999998</v>
      </c>
      <c r="L7" s="11">
        <v>279.54000000000002</v>
      </c>
      <c r="M7" s="11">
        <v>13907025.911099713</v>
      </c>
      <c r="N7" s="11">
        <v>208078135.38360336</v>
      </c>
      <c r="O7" s="11">
        <v>1779575138.3999999</v>
      </c>
      <c r="P7" s="12">
        <v>6.6225113492766477E-3</v>
      </c>
      <c r="Q7" s="11">
        <v>1071144003.661751</v>
      </c>
      <c r="R7" s="13">
        <v>-2.683988260313952E-2</v>
      </c>
      <c r="S7" s="13">
        <v>-0.12348009621591349</v>
      </c>
      <c r="T7" s="13">
        <v>-0.19994347127681267</v>
      </c>
      <c r="U7" s="13">
        <v>-3.3765658970592693E-2</v>
      </c>
      <c r="V7" s="13">
        <v>-3.3765658970592693E-2</v>
      </c>
      <c r="W7" s="11">
        <v>1222041848.7217906</v>
      </c>
      <c r="X7" s="11">
        <v>1338835401.2574499</v>
      </c>
      <c r="Y7" s="11">
        <v>1108575795.9301829</v>
      </c>
      <c r="Z7" s="11">
        <v>1108575795.9301829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>
        <v>29238</v>
      </c>
    </row>
    <row r="8" spans="1:54" ht="15.5" thickTop="1" thickBot="1">
      <c r="A8" s="9" t="s">
        <v>86</v>
      </c>
      <c r="B8" s="10" t="s">
        <v>87</v>
      </c>
      <c r="C8" s="10" t="s">
        <v>88</v>
      </c>
      <c r="D8" s="10" t="s">
        <v>89</v>
      </c>
      <c r="E8" s="11">
        <v>1299.56</v>
      </c>
      <c r="F8" s="12">
        <v>0.10352770487566407</v>
      </c>
      <c r="G8" s="13">
        <v>-0.49749178545639561</v>
      </c>
      <c r="H8" s="13">
        <v>-0.42671595993620703</v>
      </c>
      <c r="I8" s="13">
        <v>-0.84228349912164624</v>
      </c>
      <c r="J8" s="10"/>
      <c r="K8" s="10"/>
      <c r="L8" s="10"/>
      <c r="M8" s="11">
        <v>8204246.7547872262</v>
      </c>
      <c r="N8" s="11">
        <v>32857026.253417864</v>
      </c>
      <c r="O8" s="11">
        <v>103964800</v>
      </c>
      <c r="P8" s="12">
        <v>0.11919149380237404</v>
      </c>
      <c r="Q8" s="11">
        <v>959690666.31726098</v>
      </c>
      <c r="R8" s="13">
        <v>-6.25433800095333E-2</v>
      </c>
      <c r="S8" s="13">
        <v>-0.22997533755310284</v>
      </c>
      <c r="T8" s="13">
        <v>-0.31602926682450072</v>
      </c>
      <c r="U8" s="13">
        <v>-0.33943607981468149</v>
      </c>
      <c r="V8" s="13">
        <v>-0.34102515133579647</v>
      </c>
      <c r="W8" s="11">
        <v>1246311596.3944125</v>
      </c>
      <c r="X8" s="11">
        <v>1403116565.9116223</v>
      </c>
      <c r="Y8" s="11">
        <v>1452835428.9287002</v>
      </c>
      <c r="Z8" s="11">
        <v>1456338839.4301138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>
        <v>63514</v>
      </c>
    </row>
    <row r="9" spans="1:54" ht="15.5" thickTop="1" thickBot="1">
      <c r="A9" s="9" t="s">
        <v>90</v>
      </c>
      <c r="B9" s="10" t="s">
        <v>91</v>
      </c>
      <c r="C9" s="10" t="s">
        <v>92</v>
      </c>
      <c r="D9" s="10" t="s">
        <v>74</v>
      </c>
      <c r="E9" s="11">
        <v>28.34</v>
      </c>
      <c r="F9" s="12">
        <v>7.8847701744770668E-2</v>
      </c>
      <c r="G9" s="13">
        <v>-0.4517283012294071</v>
      </c>
      <c r="H9" s="13">
        <v>-0.41477157888241856</v>
      </c>
      <c r="I9" s="13">
        <v>-0.25351981606404661</v>
      </c>
      <c r="J9" s="12">
        <v>0.84923797974285797</v>
      </c>
      <c r="K9" s="11">
        <v>74.45</v>
      </c>
      <c r="L9" s="11">
        <v>6.65</v>
      </c>
      <c r="M9" s="11">
        <v>79185558.556340784</v>
      </c>
      <c r="N9" s="11">
        <v>304819111.40578848</v>
      </c>
      <c r="O9" s="11">
        <v>2834000000</v>
      </c>
      <c r="P9" s="12">
        <v>1.741049334939301E-2</v>
      </c>
      <c r="Q9" s="11">
        <v>2407443563.9840899</v>
      </c>
      <c r="R9" s="13">
        <v>-4.4662100308782593E-2</v>
      </c>
      <c r="S9" s="13">
        <v>-0.16877406636049386</v>
      </c>
      <c r="T9" s="13">
        <v>-0.22178451595000548</v>
      </c>
      <c r="U9" s="13">
        <v>-2.7803482911567756E-2</v>
      </c>
      <c r="V9" s="12">
        <v>0.43615638688545344</v>
      </c>
      <c r="W9" s="11">
        <v>2896256561.0088058</v>
      </c>
      <c r="X9" s="11">
        <v>3093543643.5359201</v>
      </c>
      <c r="Y9" s="11">
        <v>2476293137.9285178</v>
      </c>
      <c r="Z9" s="11">
        <v>1676310174.8306365</v>
      </c>
      <c r="AA9" s="11">
        <v>33977799965.091267</v>
      </c>
      <c r="AB9" s="11">
        <v>2815666.8101663841</v>
      </c>
      <c r="AC9" s="12">
        <v>0.12064134727314513</v>
      </c>
      <c r="AD9" s="11">
        <v>9429549.5180442762</v>
      </c>
      <c r="AE9" s="12">
        <v>0.72456297551851656</v>
      </c>
      <c r="AF9" s="11">
        <v>19105441.313912857</v>
      </c>
      <c r="AG9" s="12">
        <v>0.66583765221886915</v>
      </c>
      <c r="AH9" s="11">
        <v>30823906.240674</v>
      </c>
      <c r="AI9" s="12">
        <v>4.1975351882678229</v>
      </c>
      <c r="AJ9" s="10"/>
      <c r="AK9" s="10"/>
      <c r="AL9" s="10"/>
      <c r="AM9" s="10"/>
      <c r="AN9" s="10"/>
      <c r="AO9" s="10"/>
      <c r="AP9" s="10"/>
      <c r="AQ9" s="10"/>
      <c r="AR9" s="14">
        <v>25.525704059389703</v>
      </c>
      <c r="AS9" s="13">
        <v>-0.10088342811757689</v>
      </c>
      <c r="AT9" s="13">
        <v>-0.35836867135048989</v>
      </c>
      <c r="AU9" s="13">
        <v>-0.61970359750198489</v>
      </c>
      <c r="AV9" s="13">
        <v>-0.68247933824416762</v>
      </c>
      <c r="AW9" s="13">
        <v>-0.62224980898185445</v>
      </c>
      <c r="AX9" s="14">
        <v>39.782508926295073</v>
      </c>
      <c r="AY9" s="14">
        <v>67.120550948474801</v>
      </c>
      <c r="AZ9" s="14">
        <v>80.390686761098124</v>
      </c>
      <c r="BA9" s="14">
        <v>67.572974590934237</v>
      </c>
      <c r="BB9" s="10">
        <v>82113</v>
      </c>
    </row>
    <row r="10" spans="1:54" ht="15.5" thickTop="1" thickBot="1">
      <c r="A10" s="9" t="s">
        <v>93</v>
      </c>
      <c r="B10" s="10" t="s">
        <v>94</v>
      </c>
      <c r="C10" s="10" t="s">
        <v>95</v>
      </c>
      <c r="D10" s="10" t="s">
        <v>74</v>
      </c>
      <c r="E10" s="11">
        <v>4.16</v>
      </c>
      <c r="F10" s="12">
        <v>0.1006509889521547</v>
      </c>
      <c r="G10" s="13">
        <v>-0.36084167243497323</v>
      </c>
      <c r="H10" s="13">
        <v>-0.31758124824758616</v>
      </c>
      <c r="I10" s="13">
        <v>-0.29637247747589979</v>
      </c>
      <c r="J10" s="12">
        <v>2.8104840440230641</v>
      </c>
      <c r="K10" s="11">
        <v>10.72</v>
      </c>
      <c r="L10" s="11">
        <v>0.120935</v>
      </c>
      <c r="M10" s="11">
        <v>461714604.9995349</v>
      </c>
      <c r="N10" s="11">
        <v>806881121.04564059</v>
      </c>
      <c r="O10" s="11">
        <v>810034492.80000007</v>
      </c>
      <c r="P10" s="12">
        <v>0.40973323033801184</v>
      </c>
      <c r="Q10" s="11">
        <v>1351900801.8782232</v>
      </c>
      <c r="R10" s="13">
        <v>-7.1599998860977898E-2</v>
      </c>
      <c r="S10" s="13">
        <v>-0.22604298325829086</v>
      </c>
      <c r="T10" s="13">
        <v>-0.31416147853244325</v>
      </c>
      <c r="U10" s="13">
        <v>-0.2022355387605197</v>
      </c>
      <c r="V10" s="12">
        <v>0.40424395114390355</v>
      </c>
      <c r="W10" s="11">
        <v>1746738866.1577182</v>
      </c>
      <c r="X10" s="11">
        <v>1971164872.7245982</v>
      </c>
      <c r="Y10" s="11">
        <v>1694611464.3635361</v>
      </c>
      <c r="Z10" s="11">
        <v>962725031.34299326</v>
      </c>
      <c r="AA10" s="11">
        <v>52864604534.888344</v>
      </c>
      <c r="AB10" s="11">
        <v>4284116.0146400696</v>
      </c>
      <c r="AC10" s="12">
        <v>9.3513257560881025E-2</v>
      </c>
      <c r="AD10" s="11">
        <v>13469611.56642361</v>
      </c>
      <c r="AE10" s="12">
        <v>0.56504614447450185</v>
      </c>
      <c r="AF10" s="11">
        <v>29467902.643242318</v>
      </c>
      <c r="AG10" s="12">
        <v>5.4731059550482968</v>
      </c>
      <c r="AH10" s="11">
        <v>32450161.351696275</v>
      </c>
      <c r="AI10" s="12">
        <v>85.7274160492493</v>
      </c>
      <c r="AJ10" s="11">
        <v>2142058.0073200348</v>
      </c>
      <c r="AK10" s="12">
        <v>9.3513257560881025E-2</v>
      </c>
      <c r="AL10" s="11">
        <v>6734805.7832118049</v>
      </c>
      <c r="AM10" s="12">
        <v>0.56504614447450185</v>
      </c>
      <c r="AN10" s="11">
        <v>14733951.321621159</v>
      </c>
      <c r="AO10" s="12">
        <v>5.4731059550482968</v>
      </c>
      <c r="AP10" s="11">
        <v>16225080.675848138</v>
      </c>
      <c r="AQ10" s="12">
        <v>85.7274160492493</v>
      </c>
      <c r="AR10" s="14">
        <v>5.1076046056828854</v>
      </c>
      <c r="AS10" s="13">
        <v>-9.2971273898058149E-3</v>
      </c>
      <c r="AT10" s="13">
        <v>-0.26048260359332753</v>
      </c>
      <c r="AU10" s="13">
        <v>-0.50460388979661586</v>
      </c>
      <c r="AV10" s="13">
        <v>-0.69619694021269973</v>
      </c>
      <c r="AW10" s="13">
        <v>-0.85371244388292167</v>
      </c>
      <c r="AX10" s="14">
        <v>6.9066726901906872</v>
      </c>
      <c r="AY10" s="14">
        <v>10.310142733228096</v>
      </c>
      <c r="AZ10" s="14">
        <v>16.812222395846966</v>
      </c>
      <c r="BA10" s="14">
        <v>34.914826259009452</v>
      </c>
      <c r="BB10" s="10">
        <v>118727</v>
      </c>
    </row>
    <row r="11" spans="1:54" ht="15.5" thickTop="1" thickBot="1">
      <c r="A11" s="9" t="s">
        <v>96</v>
      </c>
      <c r="B11" s="10" t="s">
        <v>97</v>
      </c>
      <c r="C11" s="10" t="s">
        <v>98</v>
      </c>
      <c r="D11" s="10" t="s">
        <v>89</v>
      </c>
      <c r="E11" s="11">
        <v>24.72</v>
      </c>
      <c r="F11" s="13">
        <v>-0.20992016622033663</v>
      </c>
      <c r="G11" s="13">
        <v>-0.43226546658349296</v>
      </c>
      <c r="H11" s="13">
        <v>-0.40568553600375934</v>
      </c>
      <c r="I11" s="13">
        <v>-0.58194251438863698</v>
      </c>
      <c r="J11" s="13">
        <v>-7.3400313129954653E-2</v>
      </c>
      <c r="K11" s="11">
        <v>185.69</v>
      </c>
      <c r="L11" s="11">
        <v>14.22</v>
      </c>
      <c r="M11" s="11">
        <v>2963860.4298438276</v>
      </c>
      <c r="N11" s="11">
        <v>65620696.607691281</v>
      </c>
      <c r="O11" s="11">
        <v>247200000</v>
      </c>
      <c r="P11" s="12">
        <v>9.1346370461437114E-3</v>
      </c>
      <c r="Q11" s="11">
        <v>83753682.881235331</v>
      </c>
      <c r="R11" s="13">
        <v>-3.0999201928343378E-3</v>
      </c>
      <c r="S11" s="13">
        <v>-3.6732464846253143E-2</v>
      </c>
      <c r="T11" s="12">
        <v>0.22466327564743938</v>
      </c>
      <c r="U11" s="13">
        <v>-0.66465211778134514</v>
      </c>
      <c r="V11" s="13">
        <v>-0.69396918988625877</v>
      </c>
      <c r="W11" s="11">
        <v>86947478.06264168</v>
      </c>
      <c r="X11" s="11">
        <v>68389151.978904158</v>
      </c>
      <c r="Y11" s="11">
        <v>249751637.99193439</v>
      </c>
      <c r="Z11" s="11">
        <v>273677290.36859697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>
        <v>17866</v>
      </c>
    </row>
    <row r="12" spans="1:54" ht="15.5" thickTop="1" thickBot="1">
      <c r="A12" s="9" t="s">
        <v>99</v>
      </c>
      <c r="B12" s="10" t="s">
        <v>100</v>
      </c>
      <c r="C12" s="10" t="s">
        <v>101</v>
      </c>
      <c r="D12" s="10" t="s">
        <v>89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>
        <v>27543301.940078866</v>
      </c>
      <c r="R12" s="13">
        <v>-0.12622276420148115</v>
      </c>
      <c r="S12" s="13">
        <v>-0.30633073828633184</v>
      </c>
      <c r="T12" s="13">
        <v>-0.60572203545661585</v>
      </c>
      <c r="U12" s="13">
        <v>-0.5773454248111145</v>
      </c>
      <c r="V12" s="13">
        <v>-0.5773454248111145</v>
      </c>
      <c r="W12" s="11">
        <v>39706677.894353852</v>
      </c>
      <c r="X12" s="11">
        <v>69857573.633304462</v>
      </c>
      <c r="Y12" s="11">
        <v>65167405.150576428</v>
      </c>
      <c r="Z12" s="11">
        <v>65167405.150576428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>
        <v>2943</v>
      </c>
    </row>
    <row r="13" spans="1:54" ht="15.5" thickTop="1" thickBot="1">
      <c r="A13" s="9" t="s">
        <v>102</v>
      </c>
      <c r="B13" s="10" t="s">
        <v>103</v>
      </c>
      <c r="C13" s="10" t="s">
        <v>104</v>
      </c>
      <c r="D13" s="10" t="s">
        <v>105</v>
      </c>
      <c r="E13" s="11">
        <v>278.74</v>
      </c>
      <c r="F13" s="13">
        <v>-2.64404583267881E-2</v>
      </c>
      <c r="G13" s="13">
        <v>-0.50567383598140025</v>
      </c>
      <c r="H13" s="13">
        <v>-0.47186381715520342</v>
      </c>
      <c r="I13" s="12">
        <v>3.8555558143436031E-2</v>
      </c>
      <c r="J13" s="12">
        <v>7.2613755180253197</v>
      </c>
      <c r="K13" s="11">
        <v>686.31</v>
      </c>
      <c r="L13" s="11">
        <v>3.9817699999999998E-2</v>
      </c>
      <c r="M13" s="11">
        <v>7987128014.7291136</v>
      </c>
      <c r="N13" s="11">
        <v>42952963910.192581</v>
      </c>
      <c r="O13" s="11">
        <v>47534549879.739998</v>
      </c>
      <c r="P13" s="12">
        <v>0.11768019908476873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>
        <v>77034171787.632477</v>
      </c>
      <c r="AB13" s="10"/>
      <c r="AC13" s="13">
        <v>-0.33448763966984862</v>
      </c>
      <c r="AD13" s="11">
        <v>2324172.9248064994</v>
      </c>
      <c r="AE13" s="13">
        <v>-0.29150010561571815</v>
      </c>
      <c r="AF13" s="11">
        <v>12416242.909020262</v>
      </c>
      <c r="AG13" s="12">
        <v>1.0772639317753407E-2</v>
      </c>
      <c r="AH13" s="11">
        <v>17036303.413538065</v>
      </c>
      <c r="AI13" s="12">
        <v>0.16155919242858463</v>
      </c>
      <c r="AJ13" s="10"/>
      <c r="AK13" s="10"/>
      <c r="AL13" s="10"/>
      <c r="AM13" s="10"/>
      <c r="AN13" s="10"/>
      <c r="AO13" s="10"/>
      <c r="AP13" s="10"/>
      <c r="AQ13" s="10"/>
      <c r="AR13" s="14">
        <v>1737.03983279401</v>
      </c>
      <c r="AS13" s="13">
        <v>-0.12223839565217054</v>
      </c>
      <c r="AT13" s="13">
        <v>-0.12094466584853558</v>
      </c>
      <c r="AU13" s="13">
        <v>-0.15752128918099984</v>
      </c>
      <c r="AV13" s="12">
        <v>0.27553937623364222</v>
      </c>
      <c r="AW13" s="12">
        <v>0.67863989398173907</v>
      </c>
      <c r="AX13" s="14">
        <v>1976.0301374779119</v>
      </c>
      <c r="AY13" s="14">
        <v>2061.8204477895692</v>
      </c>
      <c r="AZ13" s="14">
        <v>1361.8080830425372</v>
      </c>
      <c r="BA13" s="14">
        <v>1034.7900338968748</v>
      </c>
      <c r="BB13" s="10">
        <v>639699</v>
      </c>
    </row>
    <row r="14" spans="1:54" ht="15.5" thickTop="1" thickBot="1">
      <c r="A14" s="9" t="s">
        <v>106</v>
      </c>
      <c r="B14" s="10" t="s">
        <v>107</v>
      </c>
      <c r="C14" s="10" t="s">
        <v>108</v>
      </c>
      <c r="D14" s="10" t="s">
        <v>105</v>
      </c>
      <c r="E14" s="11">
        <v>35826</v>
      </c>
      <c r="F14" s="13">
        <v>-2.0315104144788484E-2</v>
      </c>
      <c r="G14" s="13">
        <v>-0.23095522857110995</v>
      </c>
      <c r="H14" s="13">
        <v>-0.30015212182837769</v>
      </c>
      <c r="I14" s="13">
        <v>-0.34156522356346652</v>
      </c>
      <c r="J14" s="12">
        <v>0.87653953969200704</v>
      </c>
      <c r="K14" s="11">
        <v>64805</v>
      </c>
      <c r="L14" s="11">
        <v>67.81</v>
      </c>
      <c r="M14" s="11">
        <v>90511676573.89505</v>
      </c>
      <c r="N14" s="11">
        <v>670435707447.56445</v>
      </c>
      <c r="O14" s="11">
        <v>752346000000</v>
      </c>
      <c r="P14" s="12">
        <v>0.12505512197812269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>
        <v>5205055225336.5186</v>
      </c>
      <c r="AB14" s="11">
        <v>30220814.214569665</v>
      </c>
      <c r="AC14" s="13">
        <v>-0.26208376820164558</v>
      </c>
      <c r="AD14" s="11">
        <v>173108220.96144962</v>
      </c>
      <c r="AE14" s="13">
        <v>-0.23984876631315832</v>
      </c>
      <c r="AF14" s="11">
        <v>566055298.33417726</v>
      </c>
      <c r="AG14" s="13">
        <v>-1.0482922971855713E-2</v>
      </c>
      <c r="AH14" s="11">
        <v>898707838.99226677</v>
      </c>
      <c r="AI14" s="12">
        <v>1.6468589639148967</v>
      </c>
      <c r="AJ14" s="10"/>
      <c r="AK14" s="10"/>
      <c r="AL14" s="10"/>
      <c r="AM14" s="10"/>
      <c r="AN14" s="10"/>
      <c r="AO14" s="10"/>
      <c r="AP14" s="10"/>
      <c r="AQ14" s="10"/>
      <c r="AR14" s="14">
        <v>369.1209989748815</v>
      </c>
      <c r="AS14" s="12">
        <v>0.11937234506765537</v>
      </c>
      <c r="AT14" s="12">
        <v>0.17481810390543884</v>
      </c>
      <c r="AU14" s="12">
        <v>8.1324338317814382E-2</v>
      </c>
      <c r="AV14" s="13">
        <v>-0.15227132056259529</v>
      </c>
      <c r="AW14" s="13">
        <v>-0.26647906469982119</v>
      </c>
      <c r="AX14" s="14">
        <v>314.1941699296388</v>
      </c>
      <c r="AY14" s="14">
        <v>341.36011360764576</v>
      </c>
      <c r="AZ14" s="14">
        <v>435.42351217826996</v>
      </c>
      <c r="BA14" s="14">
        <v>503.21808309919072</v>
      </c>
      <c r="BB14" s="10">
        <v>2503911</v>
      </c>
    </row>
    <row r="15" spans="1:54" ht="15.5" thickTop="1" thickBot="1">
      <c r="A15" s="9" t="s">
        <v>109</v>
      </c>
      <c r="B15" s="10" t="s">
        <v>110</v>
      </c>
      <c r="C15" s="10" t="s">
        <v>111</v>
      </c>
      <c r="D15" s="10" t="s">
        <v>78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>
        <v>11280270.105269697</v>
      </c>
      <c r="AB15" s="11">
        <v>26047.301477014222</v>
      </c>
      <c r="AC15" s="12">
        <v>0.13026086192399755</v>
      </c>
      <c r="AD15" s="11">
        <v>84219.08836007402</v>
      </c>
      <c r="AE15" s="12">
        <v>0.74951350449171428</v>
      </c>
      <c r="AF15" s="11">
        <v>160756.9775427063</v>
      </c>
      <c r="AG15" s="12">
        <v>3.7402801223599065</v>
      </c>
      <c r="AH15" s="11">
        <v>190647.53514012386</v>
      </c>
      <c r="AI15" s="12">
        <v>35.628085086891765</v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>
        <v>19681</v>
      </c>
    </row>
    <row r="16" spans="1:54" ht="15.5" thickTop="1" thickBot="1">
      <c r="A16" s="9" t="s">
        <v>112</v>
      </c>
      <c r="B16" s="10" t="s">
        <v>113</v>
      </c>
      <c r="C16" s="10" t="s">
        <v>114</v>
      </c>
      <c r="D16" s="10" t="s">
        <v>78</v>
      </c>
      <c r="E16" s="11">
        <v>383.88</v>
      </c>
      <c r="F16" s="12">
        <v>0.13965242635657196</v>
      </c>
      <c r="G16" s="13">
        <v>-0.44477675189361399</v>
      </c>
      <c r="H16" s="13">
        <v>-0.35507702152580445</v>
      </c>
      <c r="I16" s="13">
        <v>-4.1724773175644936E-2</v>
      </c>
      <c r="J16" s="12">
        <v>2.0579598763870908</v>
      </c>
      <c r="K16" s="11">
        <v>910.54</v>
      </c>
      <c r="L16" s="11">
        <v>61.32</v>
      </c>
      <c r="M16" s="11">
        <v>304189517.72996503</v>
      </c>
      <c r="N16" s="11">
        <v>1983460492.724791</v>
      </c>
      <c r="O16" s="11">
        <v>3838800000</v>
      </c>
      <c r="P16" s="12">
        <v>8.5001753628201934E-2</v>
      </c>
      <c r="Q16" s="11">
        <v>7395738396.0727949</v>
      </c>
      <c r="R16" s="13">
        <v>-2.8090210408597605E-2</v>
      </c>
      <c r="S16" s="13">
        <v>-0.15279070480886892</v>
      </c>
      <c r="T16" s="13">
        <v>-0.22740344755884823</v>
      </c>
      <c r="U16" s="13">
        <v>-8.2086949041713431E-2</v>
      </c>
      <c r="V16" s="12">
        <v>0.36961416166367478</v>
      </c>
      <c r="W16" s="11">
        <v>8729529335.96451</v>
      </c>
      <c r="X16" s="11">
        <v>9572574939.2806454</v>
      </c>
      <c r="Y16" s="11">
        <v>8057123044.8807344</v>
      </c>
      <c r="Z16" s="11">
        <v>5399869980.2352858</v>
      </c>
      <c r="AA16" s="11">
        <v>7588021939.6912231</v>
      </c>
      <c r="AB16" s="11">
        <v>9198751.4853476211</v>
      </c>
      <c r="AC16" s="13">
        <v>-8.5824713679292453E-2</v>
      </c>
      <c r="AD16" s="11">
        <v>38924624.867640652</v>
      </c>
      <c r="AE16" s="13">
        <v>-0.24615237546197599</v>
      </c>
      <c r="AF16" s="11">
        <v>122235944.69686252</v>
      </c>
      <c r="AG16" s="12">
        <v>0.23057409453282918</v>
      </c>
      <c r="AH16" s="11">
        <v>176331861.26915866</v>
      </c>
      <c r="AI16" s="12">
        <v>5.2587991548381501</v>
      </c>
      <c r="AJ16" s="11">
        <v>1025213.4278459863</v>
      </c>
      <c r="AK16" s="13">
        <v>-7.8288206129203175E-2</v>
      </c>
      <c r="AL16" s="11">
        <v>4347950.9271313073</v>
      </c>
      <c r="AM16" s="13">
        <v>-0.22761006740683654</v>
      </c>
      <c r="AN16" s="11">
        <v>13927399.741240356</v>
      </c>
      <c r="AO16" s="12">
        <v>0.16484720140857223</v>
      </c>
      <c r="AP16" s="11">
        <v>20080252.725604117</v>
      </c>
      <c r="AQ16" s="12">
        <v>8.9576078593870072</v>
      </c>
      <c r="AR16" s="14">
        <v>8.3760619299942078</v>
      </c>
      <c r="AS16" s="13">
        <v>-8.6087225158559155E-2</v>
      </c>
      <c r="AT16" s="13">
        <v>-0.27393729713914183</v>
      </c>
      <c r="AU16" s="13">
        <v>-0.34493363571756097</v>
      </c>
      <c r="AV16" s="13">
        <v>-0.22657038282545539</v>
      </c>
      <c r="AW16" s="13">
        <v>-0.35017073063808646</v>
      </c>
      <c r="AX16" s="14">
        <v>11.536279025200647</v>
      </c>
      <c r="AY16" s="14">
        <v>12.78658527853031</v>
      </c>
      <c r="AZ16" s="14">
        <v>10.829766204962811</v>
      </c>
      <c r="BA16" s="14">
        <v>12.889634747014256</v>
      </c>
      <c r="BB16" s="10">
        <v>142846</v>
      </c>
    </row>
    <row r="17" spans="1:54" ht="15.5" thickTop="1" thickBot="1">
      <c r="A17" s="9" t="s">
        <v>115</v>
      </c>
      <c r="B17" s="10" t="s">
        <v>116</v>
      </c>
      <c r="C17" s="10" t="s">
        <v>117</v>
      </c>
      <c r="D17" s="10" t="s">
        <v>78</v>
      </c>
      <c r="E17" s="11">
        <v>110.63</v>
      </c>
      <c r="F17" s="12">
        <v>0.14557651507987224</v>
      </c>
      <c r="G17" s="13">
        <v>-0.15519140897060169</v>
      </c>
      <c r="H17" s="12">
        <v>0.19308510296684855</v>
      </c>
      <c r="I17" s="13">
        <v>-0.2905972707315011</v>
      </c>
      <c r="J17" s="12">
        <v>1.4981226991189023</v>
      </c>
      <c r="K17" s="11">
        <v>374.1</v>
      </c>
      <c r="L17" s="11">
        <v>9.36</v>
      </c>
      <c r="M17" s="11">
        <v>6207926.1746993018</v>
      </c>
      <c r="N17" s="11">
        <v>81876577.196783751</v>
      </c>
      <c r="O17" s="11">
        <v>323542634.61000001</v>
      </c>
      <c r="P17" s="12">
        <v>1.9381289927142598E-2</v>
      </c>
      <c r="Q17" s="11">
        <v>217127437.06122816</v>
      </c>
      <c r="R17" s="13">
        <v>-8.9128991201589014E-2</v>
      </c>
      <c r="S17" s="13">
        <v>-0.21946462577141768</v>
      </c>
      <c r="T17" s="13">
        <v>-0.30194993557467287</v>
      </c>
      <c r="U17" s="13">
        <v>-0.22200190912178841</v>
      </c>
      <c r="V17" s="13">
        <v>-0.32784272411434479</v>
      </c>
      <c r="W17" s="11">
        <v>278177574.30381584</v>
      </c>
      <c r="X17" s="11">
        <v>311048516.61317343</v>
      </c>
      <c r="Y17" s="11">
        <v>279084794.17492229</v>
      </c>
      <c r="Z17" s="11">
        <v>323030702.56159073</v>
      </c>
      <c r="AA17" s="11">
        <v>63627727.007993609</v>
      </c>
      <c r="AB17" s="11">
        <v>336857.984584041</v>
      </c>
      <c r="AC17" s="13">
        <v>-1.1079838417103915E-2</v>
      </c>
      <c r="AD17" s="11">
        <v>1204078.2142686362</v>
      </c>
      <c r="AE17" s="13">
        <v>-0.10398010062346608</v>
      </c>
      <c r="AF17" s="11">
        <v>3876815.1250534593</v>
      </c>
      <c r="AG17" s="13">
        <v>-0.29429220949955792</v>
      </c>
      <c r="AH17" s="11">
        <v>7076941.3368694475</v>
      </c>
      <c r="AI17" s="12">
        <v>0.8877123497837065</v>
      </c>
      <c r="AJ17" s="11">
        <v>34717.715854569258</v>
      </c>
      <c r="AK17" s="13">
        <v>-5.303304063979164E-2</v>
      </c>
      <c r="AL17" s="11">
        <v>154994.76216754751</v>
      </c>
      <c r="AM17" s="13">
        <v>-0.13864320690976573</v>
      </c>
      <c r="AN17" s="11">
        <v>409486.45778869488</v>
      </c>
      <c r="AO17" s="12">
        <v>0.69589063824997055</v>
      </c>
      <c r="AP17" s="11">
        <v>727104.26343946601</v>
      </c>
      <c r="AQ17" s="12">
        <v>1.1362989972449626</v>
      </c>
      <c r="AR17" s="14">
        <v>22.821576839271646</v>
      </c>
      <c r="AS17" s="12">
        <v>5.9879193973729317E-2</v>
      </c>
      <c r="AT17" s="13">
        <v>-3.287879414468553E-2</v>
      </c>
      <c r="AU17" s="13">
        <v>-2.3661418748959107E-2</v>
      </c>
      <c r="AV17" s="13">
        <v>-4.849190313955809E-3</v>
      </c>
      <c r="AW17" s="13">
        <v>-0.18548286598439212</v>
      </c>
      <c r="AX17" s="14">
        <v>23.597431946586696</v>
      </c>
      <c r="AY17" s="14">
        <v>23.37465432332808</v>
      </c>
      <c r="AZ17" s="14">
        <v>22.93278226490267</v>
      </c>
      <c r="BA17" s="14">
        <v>28.018535014432658</v>
      </c>
      <c r="BB17" s="10">
        <v>53376</v>
      </c>
    </row>
    <row r="18" spans="1:54" ht="15.5" thickTop="1" thickBot="1">
      <c r="A18" s="9" t="s">
        <v>118</v>
      </c>
      <c r="B18" s="10" t="s">
        <v>119</v>
      </c>
      <c r="C18" s="10" t="s">
        <v>120</v>
      </c>
      <c r="D18" s="10" t="s">
        <v>74</v>
      </c>
      <c r="E18" s="11">
        <v>1.51</v>
      </c>
      <c r="F18" s="12">
        <v>3.1770371064119292E-2</v>
      </c>
      <c r="G18" s="13">
        <v>-0.52434273004763743</v>
      </c>
      <c r="H18" s="13">
        <v>-0.3950245671956355</v>
      </c>
      <c r="I18" s="13">
        <v>-0.3587918066620559</v>
      </c>
      <c r="J18" s="12">
        <v>1.2646648275838777</v>
      </c>
      <c r="K18" s="11">
        <v>54.01</v>
      </c>
      <c r="L18" s="11">
        <v>0.33157700000000001</v>
      </c>
      <c r="M18" s="11">
        <v>414482601.57802051</v>
      </c>
      <c r="N18" s="11">
        <v>555962325.93425953</v>
      </c>
      <c r="O18" s="11">
        <v>4987575751.4899998</v>
      </c>
      <c r="P18" s="12">
        <v>7.5896072694095415E-2</v>
      </c>
      <c r="Q18" s="11">
        <v>7403183999.7936602</v>
      </c>
      <c r="R18" s="13">
        <v>-1.3416949414525314E-3</v>
      </c>
      <c r="S18" s="13">
        <v>-8.5294332961114883E-2</v>
      </c>
      <c r="T18" s="13">
        <v>-3.9889286456190276E-2</v>
      </c>
      <c r="U18" s="12">
        <v>0.28729368643415421</v>
      </c>
      <c r="V18" s="12">
        <v>0.84472920748970903</v>
      </c>
      <c r="W18" s="11">
        <v>8093514959.5820122</v>
      </c>
      <c r="X18" s="11">
        <v>7710760743.9023266</v>
      </c>
      <c r="Y18" s="11">
        <v>5750967380.4900904</v>
      </c>
      <c r="Z18" s="11">
        <v>4013154868.3331394</v>
      </c>
      <c r="AA18" s="11">
        <v>97784987780.774902</v>
      </c>
      <c r="AB18" s="11">
        <v>1108240.1949720378</v>
      </c>
      <c r="AC18" s="12">
        <v>3.2569006482295881E-2</v>
      </c>
      <c r="AD18" s="11">
        <v>3322010.5437852298</v>
      </c>
      <c r="AE18" s="12">
        <v>0.25413548640561912</v>
      </c>
      <c r="AF18" s="11">
        <v>8182842.0972595932</v>
      </c>
      <c r="AG18" s="12">
        <v>0.7539569784337472</v>
      </c>
      <c r="AH18" s="11">
        <v>12792838.945611319</v>
      </c>
      <c r="AI18" s="12">
        <v>0.76814518454453617</v>
      </c>
      <c r="AJ18" s="11">
        <v>554120.0974860189</v>
      </c>
      <c r="AK18" s="12">
        <v>3.2569006482295881E-2</v>
      </c>
      <c r="AL18" s="11">
        <v>1661005.2718926149</v>
      </c>
      <c r="AM18" s="12">
        <v>0.25413548640561912</v>
      </c>
      <c r="AN18" s="11">
        <v>4091421.0486297966</v>
      </c>
      <c r="AO18" s="12">
        <v>0.7539569784337472</v>
      </c>
      <c r="AP18" s="11">
        <v>6396419.4728056593</v>
      </c>
      <c r="AQ18" s="12">
        <v>0.76814518454453617</v>
      </c>
      <c r="AR18" s="14">
        <v>127.5138409453937</v>
      </c>
      <c r="AS18" s="13">
        <v>-5.8746271913909576E-2</v>
      </c>
      <c r="AT18" s="13">
        <v>-0.36886322410655425</v>
      </c>
      <c r="AU18" s="13">
        <v>-0.54555613674984227</v>
      </c>
      <c r="AV18" s="13">
        <v>-0.61857087594565374</v>
      </c>
      <c r="AW18" s="13">
        <v>-0.56263497940215934</v>
      </c>
      <c r="AX18" s="14">
        <v>202.03836286498023</v>
      </c>
      <c r="AY18" s="14">
        <v>280.59316289017886</v>
      </c>
      <c r="AZ18" s="14">
        <v>334.30546569177409</v>
      </c>
      <c r="BA18" s="14">
        <v>291.5501581975924</v>
      </c>
      <c r="BB18" s="10">
        <v>122191</v>
      </c>
    </row>
    <row r="19" spans="1:54" ht="15.5" thickTop="1" thickBot="1">
      <c r="A19" s="9" t="s">
        <v>121</v>
      </c>
      <c r="B19" s="10" t="s">
        <v>122</v>
      </c>
      <c r="C19" s="10" t="s">
        <v>123</v>
      </c>
      <c r="D19" s="10" t="s">
        <v>105</v>
      </c>
      <c r="E19" s="11">
        <v>105.06</v>
      </c>
      <c r="F19" s="13">
        <v>-8.6891213659956709E-2</v>
      </c>
      <c r="G19" s="13">
        <v>-0.42535604517838288</v>
      </c>
      <c r="H19" s="13">
        <v>-0.43161547776279963</v>
      </c>
      <c r="I19" s="13">
        <v>-0.33300525841474271</v>
      </c>
      <c r="J19" s="12">
        <v>3.6859577882065793</v>
      </c>
      <c r="K19" s="11">
        <v>247.35</v>
      </c>
      <c r="L19" s="11">
        <v>0.43153999999999998</v>
      </c>
      <c r="M19" s="11">
        <v>67253221.31142123</v>
      </c>
      <c r="N19" s="11">
        <v>1348050904.8658161</v>
      </c>
      <c r="O19" s="10"/>
      <c r="P19" s="12">
        <v>3.4796190076424663E-2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>
        <v>42830692916.89267</v>
      </c>
      <c r="AB19" s="11">
        <v>2742.0688286512614</v>
      </c>
      <c r="AC19" s="13">
        <v>-1.8150470442143685E-2</v>
      </c>
      <c r="AD19" s="11">
        <v>9643.0947271094628</v>
      </c>
      <c r="AE19" s="13">
        <v>-0.15902308463141179</v>
      </c>
      <c r="AF19" s="11">
        <v>30888.72038084958</v>
      </c>
      <c r="AG19" s="12">
        <v>0.4022742944977864</v>
      </c>
      <c r="AH19" s="11">
        <v>41179.69653956547</v>
      </c>
      <c r="AI19" s="12">
        <v>10.846478294368962</v>
      </c>
      <c r="AJ19" s="10"/>
      <c r="AK19" s="10"/>
      <c r="AL19" s="10"/>
      <c r="AM19" s="10"/>
      <c r="AN19" s="10"/>
      <c r="AO19" s="10"/>
      <c r="AP19" s="10"/>
      <c r="AQ19" s="10"/>
      <c r="AR19" s="14">
        <v>11872.951360517813</v>
      </c>
      <c r="AS19" s="13">
        <v>-0.25034989323085766</v>
      </c>
      <c r="AT19" s="13">
        <v>-0.34369277662811104</v>
      </c>
      <c r="AU19" s="13">
        <v>-0.37993151022839633</v>
      </c>
      <c r="AV19" s="13">
        <v>-0.36611817552395465</v>
      </c>
      <c r="AW19" s="13">
        <v>-0.45687774518037494</v>
      </c>
      <c r="AX19" s="14">
        <v>18090.538908772822</v>
      </c>
      <c r="AY19" s="14">
        <v>19147.806341346422</v>
      </c>
      <c r="AZ19" s="14">
        <v>18730.543931168508</v>
      </c>
      <c r="BA19" s="14">
        <v>21860.550281558444</v>
      </c>
      <c r="BB19" s="10">
        <v>45456</v>
      </c>
    </row>
    <row r="20" spans="1:54" ht="15.5" thickTop="1" thickBot="1">
      <c r="A20" s="9" t="s">
        <v>124</v>
      </c>
      <c r="B20" s="10" t="s">
        <v>125</v>
      </c>
      <c r="C20" s="10" t="s">
        <v>126</v>
      </c>
      <c r="D20" s="10" t="s">
        <v>89</v>
      </c>
      <c r="E20" s="11">
        <v>1.5</v>
      </c>
      <c r="F20" s="13">
        <v>-9.3012808170388137E-3</v>
      </c>
      <c r="G20" s="13">
        <v>-0.2965821445647514</v>
      </c>
      <c r="H20" s="13">
        <v>-0.46491466284026994</v>
      </c>
      <c r="I20" s="13">
        <v>-0.43425930233721166</v>
      </c>
      <c r="J20" s="12">
        <v>5.6228074750782397E-2</v>
      </c>
      <c r="K20" s="11">
        <v>5.52</v>
      </c>
      <c r="L20" s="11">
        <v>0.36202600000000001</v>
      </c>
      <c r="M20" s="11">
        <v>7231374.9912957391</v>
      </c>
      <c r="N20" s="11">
        <v>17667471.050670996</v>
      </c>
      <c r="O20" s="11">
        <v>150000000</v>
      </c>
      <c r="P20" s="12">
        <v>1.8434168902392942E-2</v>
      </c>
      <c r="Q20" s="11">
        <v>26336783.838973921</v>
      </c>
      <c r="R20" s="13">
        <v>-6.9359989982898163E-2</v>
      </c>
      <c r="S20" s="13">
        <v>-0.1845674956286627</v>
      </c>
      <c r="T20" s="13">
        <v>-0.20776667634120527</v>
      </c>
      <c r="U20" s="13">
        <v>-0.11440502075949499</v>
      </c>
      <c r="V20" s="13">
        <v>-0.10907279046700902</v>
      </c>
      <c r="W20" s="11">
        <v>32297932.321545638</v>
      </c>
      <c r="X20" s="11">
        <v>33243721.328638349</v>
      </c>
      <c r="Y20" s="11">
        <v>29739084.408044644</v>
      </c>
      <c r="Z20" s="11">
        <v>29561094.954973053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>
        <v>12949</v>
      </c>
    </row>
    <row r="21" spans="1:54" ht="15.5" thickTop="1" thickBot="1">
      <c r="A21" s="9" t="s">
        <v>127</v>
      </c>
      <c r="B21" s="10" t="s">
        <v>127</v>
      </c>
      <c r="C21" s="10" t="s">
        <v>117</v>
      </c>
      <c r="D21" s="10" t="s">
        <v>74</v>
      </c>
      <c r="E21" s="11">
        <v>1.22</v>
      </c>
      <c r="F21" s="12">
        <v>9.409641680130737E-2</v>
      </c>
      <c r="G21" s="13">
        <v>-0.53784795503976923</v>
      </c>
      <c r="H21" s="13">
        <v>-0.56556705460656331</v>
      </c>
      <c r="I21" s="13">
        <v>-0.77121847001002242</v>
      </c>
      <c r="J21" s="12">
        <v>4.014037847119508</v>
      </c>
      <c r="K21" s="11">
        <v>8.3800000000000008</v>
      </c>
      <c r="L21" s="11">
        <v>0.15082699999999999</v>
      </c>
      <c r="M21" s="11">
        <v>48548361.028663501</v>
      </c>
      <c r="N21" s="11">
        <v>152261672.8492941</v>
      </c>
      <c r="O21" s="11">
        <v>1220000000</v>
      </c>
      <c r="P21" s="12">
        <v>3.6902407647041939E-2</v>
      </c>
      <c r="Q21" s="11">
        <v>134749400.02018321</v>
      </c>
      <c r="R21" s="12">
        <v>2.5642949847538121E-2</v>
      </c>
      <c r="S21" s="13">
        <v>-0.13726751802644177</v>
      </c>
      <c r="T21" s="13">
        <v>-8.7601657943577549E-2</v>
      </c>
      <c r="U21" s="12">
        <v>0.49565789704500873</v>
      </c>
      <c r="V21" s="12">
        <v>1.5281011910060487</v>
      </c>
      <c r="W21" s="11">
        <v>156189088.54797602</v>
      </c>
      <c r="X21" s="11">
        <v>147687028.5806047</v>
      </c>
      <c r="Y21" s="11">
        <v>90093730.850089043</v>
      </c>
      <c r="Z21" s="11">
        <v>53300635.472807229</v>
      </c>
      <c r="AA21" s="11">
        <v>23087493820.864674</v>
      </c>
      <c r="AB21" s="11">
        <v>1041412.9984378191</v>
      </c>
      <c r="AC21" s="12">
        <v>0.55997733198671251</v>
      </c>
      <c r="AD21" s="11">
        <v>1886023.7854261124</v>
      </c>
      <c r="AE21" s="12">
        <v>1.0556780162047121</v>
      </c>
      <c r="AF21" s="11">
        <v>4027999.4308300153</v>
      </c>
      <c r="AG21" s="12">
        <v>0.3521180319375754</v>
      </c>
      <c r="AH21" s="11">
        <v>6549262.1867181119</v>
      </c>
      <c r="AI21" s="12">
        <v>1.5765488877639613</v>
      </c>
      <c r="AJ21" s="10"/>
      <c r="AK21" s="10"/>
      <c r="AL21" s="10"/>
      <c r="AM21" s="10"/>
      <c r="AN21" s="10"/>
      <c r="AO21" s="10"/>
      <c r="AP21" s="10"/>
      <c r="AQ21" s="10"/>
      <c r="AR21" s="14">
        <v>54.939094170943449</v>
      </c>
      <c r="AS21" s="13">
        <v>-7.3984156990932526E-2</v>
      </c>
      <c r="AT21" s="13">
        <v>-0.51588553706852336</v>
      </c>
      <c r="AU21" s="13">
        <v>-0.77786091321635209</v>
      </c>
      <c r="AV21" s="13">
        <v>-0.80839838557153831</v>
      </c>
      <c r="AW21" s="13">
        <v>-0.71593993850730497</v>
      </c>
      <c r="AX21" s="14">
        <v>113.48368697408598</v>
      </c>
      <c r="AY21" s="14">
        <v>247.31844794361345</v>
      </c>
      <c r="AZ21" s="14">
        <v>286.73607127384651</v>
      </c>
      <c r="BA21" s="14">
        <v>193.40661225744429</v>
      </c>
      <c r="BB21" s="10">
        <v>90306</v>
      </c>
    </row>
    <row r="22" spans="1:54" ht="15.5" thickTop="1" thickBot="1">
      <c r="A22" s="9" t="s">
        <v>128</v>
      </c>
      <c r="B22" s="10" t="s">
        <v>129</v>
      </c>
      <c r="C22" s="10" t="s">
        <v>130</v>
      </c>
      <c r="D22" s="10" t="s">
        <v>105</v>
      </c>
      <c r="E22" s="11">
        <v>0.31543100000000002</v>
      </c>
      <c r="F22" s="13">
        <v>-6.1356407748716972E-2</v>
      </c>
      <c r="G22" s="13">
        <v>-0.38788757232770465</v>
      </c>
      <c r="H22" s="12">
        <v>0.26547014451832185</v>
      </c>
      <c r="I22" s="12">
        <v>4.8923872765301093</v>
      </c>
      <c r="J22" s="12">
        <v>74.937744416171071</v>
      </c>
      <c r="K22" s="11">
        <v>0.73157799999999995</v>
      </c>
      <c r="L22" s="11">
        <v>8.6899999999999998E-5</v>
      </c>
      <c r="M22" s="11">
        <v>9267704968.7868061</v>
      </c>
      <c r="N22" s="11">
        <v>40918169588.987938</v>
      </c>
      <c r="O22" s="10"/>
      <c r="P22" s="12">
        <v>0.2658250325698342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>
        <v>1100215839079.7346</v>
      </c>
      <c r="AB22" s="11">
        <v>321966.94011634815</v>
      </c>
      <c r="AC22" s="13">
        <v>-0.12179911212871319</v>
      </c>
      <c r="AD22" s="11">
        <v>2227325.1211388423</v>
      </c>
      <c r="AE22" s="12">
        <v>1.7911316561632398</v>
      </c>
      <c r="AF22" s="11">
        <v>3146366.184896355</v>
      </c>
      <c r="AG22" s="12">
        <v>8.5821263799320029</v>
      </c>
      <c r="AH22" s="11">
        <v>3403753.8828391526</v>
      </c>
      <c r="AI22" s="12">
        <v>314.85955374643987</v>
      </c>
      <c r="AJ22" s="10"/>
      <c r="AK22" s="10"/>
      <c r="AL22" s="10"/>
      <c r="AM22" s="10"/>
      <c r="AN22" s="10"/>
      <c r="AO22" s="10"/>
      <c r="AP22" s="10"/>
      <c r="AQ22" s="10"/>
      <c r="AR22" s="14">
        <v>1560.2759416333697</v>
      </c>
      <c r="AS22" s="13">
        <v>-0.19484036927238624</v>
      </c>
      <c r="AT22" s="13">
        <v>-0.25639557711656824</v>
      </c>
      <c r="AU22" s="13">
        <v>-0.49241055894904961</v>
      </c>
      <c r="AV22" s="13">
        <v>-0.56195477038287789</v>
      </c>
      <c r="AW22" s="13">
        <v>-0.63311582225098118</v>
      </c>
      <c r="AX22" s="14">
        <v>2098.2607063889941</v>
      </c>
      <c r="AY22" s="14">
        <v>3073.8936144984814</v>
      </c>
      <c r="AZ22" s="14">
        <v>3561.9060228030444</v>
      </c>
      <c r="BA22" s="14">
        <v>4252.7752251576685</v>
      </c>
      <c r="BB22" s="10">
        <v>1603241</v>
      </c>
    </row>
    <row r="23" spans="1:54" ht="15.5" thickTop="1" thickBot="1">
      <c r="A23" s="9" t="s">
        <v>131</v>
      </c>
      <c r="B23" s="10" t="s">
        <v>132</v>
      </c>
      <c r="C23" s="10" t="s">
        <v>133</v>
      </c>
      <c r="D23" s="10" t="s">
        <v>74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>
        <v>154344327.91357169</v>
      </c>
      <c r="R23" s="13">
        <v>-8.3198465747065464E-2</v>
      </c>
      <c r="S23" s="13">
        <v>-0.3080183529403776</v>
      </c>
      <c r="T23" s="13">
        <v>-0.39910632795553425</v>
      </c>
      <c r="U23" s="13">
        <v>-0.4014009402486709</v>
      </c>
      <c r="V23" s="13">
        <v>-0.15969738928164345</v>
      </c>
      <c r="W23" s="11">
        <v>223046851.84847555</v>
      </c>
      <c r="X23" s="11">
        <v>256857968.54613957</v>
      </c>
      <c r="Y23" s="11">
        <v>257842583.27717659</v>
      </c>
      <c r="Z23" s="11">
        <v>183677077.69184014</v>
      </c>
      <c r="AA23" s="11">
        <v>25227556857.368748</v>
      </c>
      <c r="AB23" s="11">
        <v>1809049.6556858243</v>
      </c>
      <c r="AC23" s="12">
        <v>0.34979632157256235</v>
      </c>
      <c r="AD23" s="11">
        <v>3875500.3658008813</v>
      </c>
      <c r="AE23" s="12">
        <v>0.81087253358603451</v>
      </c>
      <c r="AF23" s="11">
        <v>9093393.2797712926</v>
      </c>
      <c r="AG23" s="13">
        <v>-0.15117600996836433</v>
      </c>
      <c r="AH23" s="11">
        <v>18751476.946255703</v>
      </c>
      <c r="AI23" s="12">
        <v>3.9247370377451762</v>
      </c>
      <c r="AJ23" s="11">
        <v>1219870.1297855361</v>
      </c>
      <c r="AK23" s="12">
        <v>0.37846922375812819</v>
      </c>
      <c r="AL23" s="11">
        <v>2530452.6199270897</v>
      </c>
      <c r="AM23" s="12">
        <v>0.58765195087279865</v>
      </c>
      <c r="AN23" s="11">
        <v>6866849.1905624438</v>
      </c>
      <c r="AO23" s="13">
        <v>-0.37255267503327483</v>
      </c>
      <c r="AP23" s="11">
        <v>15294120.75669976</v>
      </c>
      <c r="AQ23" s="12">
        <v>2.8615752259613481</v>
      </c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>
        <v>32802</v>
      </c>
    </row>
    <row r="24" spans="1:54" ht="15.5" thickTop="1" thickBot="1">
      <c r="A24" s="9" t="s">
        <v>134</v>
      </c>
      <c r="B24" s="10" t="s">
        <v>135</v>
      </c>
      <c r="C24" s="10" t="s">
        <v>136</v>
      </c>
      <c r="D24" s="10" t="s">
        <v>74</v>
      </c>
      <c r="E24" s="11">
        <v>0.70362999999999998</v>
      </c>
      <c r="F24" s="12">
        <v>5.946350264336564E-2</v>
      </c>
      <c r="G24" s="13">
        <v>-0.56915356298134068</v>
      </c>
      <c r="H24" s="13">
        <v>-0.58094793293574298</v>
      </c>
      <c r="I24" s="10"/>
      <c r="J24" s="10"/>
      <c r="K24" s="10"/>
      <c r="L24" s="10"/>
      <c r="M24" s="11">
        <v>8463764.5629130434</v>
      </c>
      <c r="N24" s="11">
        <v>107254181.07787484</v>
      </c>
      <c r="O24" s="11">
        <v>703630000</v>
      </c>
      <c r="P24" s="12">
        <v>1.6232587812185662E-2</v>
      </c>
      <c r="Q24" s="11">
        <v>2041247277.3409882</v>
      </c>
      <c r="R24" s="13">
        <v>-8.1651563948001993E-3</v>
      </c>
      <c r="S24" s="13">
        <v>-9.3418959883189601E-2</v>
      </c>
      <c r="T24" s="13">
        <v>-0.20147812164600709</v>
      </c>
      <c r="U24" s="13">
        <v>-0.13808900428659587</v>
      </c>
      <c r="V24" s="13">
        <v>-0.13808900428659587</v>
      </c>
      <c r="W24" s="11">
        <v>2251588315.8972521</v>
      </c>
      <c r="X24" s="11">
        <v>2556282216.7736301</v>
      </c>
      <c r="Y24" s="11">
        <v>2368280817.2686634</v>
      </c>
      <c r="Z24" s="11">
        <v>2368280817.2686634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>
        <v>15795</v>
      </c>
    </row>
    <row r="25" spans="1:54" ht="15.5" thickTop="1" thickBot="1">
      <c r="A25" s="9" t="s">
        <v>137</v>
      </c>
      <c r="B25" s="10" t="s">
        <v>138</v>
      </c>
      <c r="C25" s="10" t="s">
        <v>139</v>
      </c>
      <c r="D25" s="10" t="s">
        <v>89</v>
      </c>
      <c r="E25" s="11">
        <v>51.9</v>
      </c>
      <c r="F25" s="12">
        <v>1.2734456766166165E-2</v>
      </c>
      <c r="G25" s="13">
        <v>-0.43885230909806494</v>
      </c>
      <c r="H25" s="13">
        <v>-0.47173469809904023</v>
      </c>
      <c r="I25" s="12">
        <v>0.30738822308664071</v>
      </c>
      <c r="J25" s="12">
        <v>0.706020161298476</v>
      </c>
      <c r="K25" s="11">
        <v>258.26</v>
      </c>
      <c r="L25" s="11">
        <v>1.79</v>
      </c>
      <c r="M25" s="11">
        <v>7391175.3406698639</v>
      </c>
      <c r="N25" s="11">
        <v>69500626.482081145</v>
      </c>
      <c r="O25" s="11">
        <v>94688280.299999997</v>
      </c>
      <c r="P25" s="12">
        <v>0.1042773535028463</v>
      </c>
      <c r="Q25" s="11">
        <v>23791837.263455022</v>
      </c>
      <c r="R25" s="13">
        <v>-9.3840758127486601E-2</v>
      </c>
      <c r="S25" s="13">
        <v>-0.15278105653466934</v>
      </c>
      <c r="T25" s="13">
        <v>-0.22861997715451632</v>
      </c>
      <c r="U25" s="13">
        <v>-9.3109904888493578E-2</v>
      </c>
      <c r="V25" s="13">
        <v>-9.3109904888493578E-2</v>
      </c>
      <c r="W25" s="11">
        <v>28082277.251899783</v>
      </c>
      <c r="X25" s="11">
        <v>30843211.593283381</v>
      </c>
      <c r="Y25" s="11">
        <v>26234532.047160249</v>
      </c>
      <c r="Z25" s="11">
        <v>26234532.047160249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>
        <v>24796</v>
      </c>
    </row>
    <row r="26" spans="1:54" ht="15.5" thickTop="1" thickBot="1">
      <c r="A26" s="9" t="s">
        <v>140</v>
      </c>
      <c r="B26" s="10" t="s">
        <v>141</v>
      </c>
      <c r="C26" s="10" t="s">
        <v>142</v>
      </c>
      <c r="D26" s="10" t="s">
        <v>143</v>
      </c>
      <c r="E26" s="11">
        <v>39.340000000000003</v>
      </c>
      <c r="F26" s="12">
        <v>0.1817372879339329</v>
      </c>
      <c r="G26" s="13">
        <v>-0.4523527673935972</v>
      </c>
      <c r="H26" s="13">
        <v>-0.34950851943417482</v>
      </c>
      <c r="I26" s="13">
        <v>-3.7039996127519514E-2</v>
      </c>
      <c r="J26" s="12">
        <v>0.25660629047460137</v>
      </c>
      <c r="K26" s="11">
        <v>93.15</v>
      </c>
      <c r="L26" s="11">
        <v>2.06</v>
      </c>
      <c r="M26" s="11">
        <v>47212450.767152354</v>
      </c>
      <c r="N26" s="11">
        <v>223313961.61282927</v>
      </c>
      <c r="O26" s="11">
        <v>432740000.00000006</v>
      </c>
      <c r="P26" s="12">
        <v>6.9075642796641176E-2</v>
      </c>
      <c r="Q26" s="11">
        <v>11560534.302396541</v>
      </c>
      <c r="R26" s="13">
        <v>-9.0464579483912955E-2</v>
      </c>
      <c r="S26" s="13">
        <v>-0.25677591682162537</v>
      </c>
      <c r="T26" s="13">
        <v>-0.29012379776867492</v>
      </c>
      <c r="U26" s="13">
        <v>-0.23551271095289372</v>
      </c>
      <c r="V26" s="13">
        <v>-0.23551271095289372</v>
      </c>
      <c r="W26" s="11">
        <v>15554574.406359756</v>
      </c>
      <c r="X26" s="11">
        <v>16285282.230984477</v>
      </c>
      <c r="Y26" s="11">
        <v>15121944.429980187</v>
      </c>
      <c r="Z26" s="11">
        <v>15121944.429980187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>
        <v>28786</v>
      </c>
    </row>
    <row r="27" spans="1:54" ht="15.5" thickTop="1" thickBot="1">
      <c r="A27" s="9" t="s">
        <v>144</v>
      </c>
      <c r="B27" s="10" t="s">
        <v>145</v>
      </c>
      <c r="C27" s="10" t="s">
        <v>146</v>
      </c>
      <c r="D27" s="10" t="s">
        <v>105</v>
      </c>
      <c r="E27" s="11">
        <v>2172.58</v>
      </c>
      <c r="F27" s="13">
        <v>-1.5817057244791041E-2</v>
      </c>
      <c r="G27" s="13">
        <v>-0.39684146408247378</v>
      </c>
      <c r="H27" s="13">
        <v>-8.1062801011210439E-2</v>
      </c>
      <c r="I27" s="12">
        <v>0.2146715445068319</v>
      </c>
      <c r="J27" s="12">
        <v>2.6049471084878113</v>
      </c>
      <c r="K27" s="11">
        <v>4356.99</v>
      </c>
      <c r="L27" s="11">
        <v>0.432979</v>
      </c>
      <c r="M27" s="11">
        <v>82848851954.197006</v>
      </c>
      <c r="N27" s="11">
        <v>252023724604.21655</v>
      </c>
      <c r="O27" s="10"/>
      <c r="P27" s="12">
        <v>0.28724054801513671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>
        <v>7532016499180.957</v>
      </c>
      <c r="AB27" s="11">
        <v>264576971.9768565</v>
      </c>
      <c r="AC27" s="13">
        <v>-6.7517636044269747E-3</v>
      </c>
      <c r="AD27" s="11">
        <v>1087343437.2002439</v>
      </c>
      <c r="AE27" s="12">
        <v>0.38805767887468634</v>
      </c>
      <c r="AF27" s="11">
        <v>2499396019.75843</v>
      </c>
      <c r="AG27" s="12">
        <v>0.60209975605536914</v>
      </c>
      <c r="AH27" s="11">
        <v>3497500979.7165699</v>
      </c>
      <c r="AI27" s="12">
        <v>17.488708021255427</v>
      </c>
      <c r="AJ27" s="10"/>
      <c r="AK27" s="10"/>
      <c r="AL27" s="10"/>
      <c r="AM27" s="10"/>
      <c r="AN27" s="10"/>
      <c r="AO27" s="10"/>
      <c r="AP27" s="10"/>
      <c r="AQ27" s="10"/>
      <c r="AR27" s="14">
        <v>19.685367069972973</v>
      </c>
      <c r="AS27" s="13">
        <v>-0.19897399158906637</v>
      </c>
      <c r="AT27" s="13">
        <v>-0.30858439616475342</v>
      </c>
      <c r="AU27" s="13">
        <v>-0.47130799472709162</v>
      </c>
      <c r="AV27" s="13">
        <v>-0.33635569214446082</v>
      </c>
      <c r="AW27" s="13">
        <v>-0.54994721770739663</v>
      </c>
      <c r="AX27" s="14">
        <v>28.471106178077644</v>
      </c>
      <c r="AY27" s="14">
        <v>37.234092578743414</v>
      </c>
      <c r="AZ27" s="14">
        <v>29.662526803828243</v>
      </c>
      <c r="BA27" s="14">
        <v>43.740129701441248</v>
      </c>
      <c r="BB27" s="10">
        <v>1252270</v>
      </c>
    </row>
    <row r="28" spans="1:54" ht="15.5" thickTop="1" thickBot="1">
      <c r="A28" s="9" t="s">
        <v>147</v>
      </c>
      <c r="B28" s="10" t="s">
        <v>148</v>
      </c>
      <c r="C28" s="10" t="s">
        <v>149</v>
      </c>
      <c r="D28" s="10" t="s">
        <v>150</v>
      </c>
      <c r="E28" s="11">
        <v>0.91491500000000003</v>
      </c>
      <c r="F28" s="12">
        <v>1.3622165819561625E-2</v>
      </c>
      <c r="G28" s="13">
        <v>-0.37997363497401082</v>
      </c>
      <c r="H28" s="13">
        <v>-0.31937080638220106</v>
      </c>
      <c r="I28" s="10"/>
      <c r="J28" s="10"/>
      <c r="K28" s="10"/>
      <c r="L28" s="10"/>
      <c r="M28" s="11">
        <v>44828620.635749191</v>
      </c>
      <c r="N28" s="11">
        <v>368589270.1711328</v>
      </c>
      <c r="O28" s="11">
        <v>914915000</v>
      </c>
      <c r="P28" s="12">
        <v>2.888820490839341E-2</v>
      </c>
      <c r="Q28" s="11">
        <v>382781312.0679186</v>
      </c>
      <c r="R28" s="13">
        <v>-1.8637396958381069E-2</v>
      </c>
      <c r="S28" s="13">
        <v>-9.1446898011028566E-2</v>
      </c>
      <c r="T28" s="13">
        <v>-0.36985942277214967</v>
      </c>
      <c r="U28" s="13">
        <v>-0.49917154214426995</v>
      </c>
      <c r="V28" s="13">
        <v>-0.49917154214426995</v>
      </c>
      <c r="W28" s="11">
        <v>421308684.35752147</v>
      </c>
      <c r="X28" s="11">
        <v>607453837.9227562</v>
      </c>
      <c r="Y28" s="11">
        <v>764296249.67154634</v>
      </c>
      <c r="Z28" s="11">
        <v>764296249.67154634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>
        <v>25394</v>
      </c>
    </row>
    <row r="29" spans="1:54" ht="15.5" thickTop="1" thickBot="1">
      <c r="A29" s="9" t="s">
        <v>151</v>
      </c>
      <c r="B29" s="10" t="s">
        <v>152</v>
      </c>
      <c r="C29" s="10" t="s">
        <v>153</v>
      </c>
      <c r="D29" s="10" t="s">
        <v>105</v>
      </c>
      <c r="E29" s="11">
        <v>65.8</v>
      </c>
      <c r="F29" s="13">
        <v>-6.6142646661587562E-2</v>
      </c>
      <c r="G29" s="13">
        <v>-0.38974478372682086</v>
      </c>
      <c r="H29" s="13">
        <v>-0.52770964690223243</v>
      </c>
      <c r="I29" s="12">
        <v>0.6583912568029977</v>
      </c>
      <c r="J29" s="12">
        <v>1.215875561868526</v>
      </c>
      <c r="K29" s="11">
        <v>236.84</v>
      </c>
      <c r="L29" s="11">
        <v>20.059999999999999</v>
      </c>
      <c r="M29" s="11">
        <v>1743341205.7169564</v>
      </c>
      <c r="N29" s="11">
        <v>4836653418.0335903</v>
      </c>
      <c r="O29" s="11">
        <v>129899457759.39999</v>
      </c>
      <c r="P29" s="12">
        <v>0.45210933535380254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3">
        <v>-0.56540368061137225</v>
      </c>
      <c r="AD29" s="11">
        <v>334294.66353140835</v>
      </c>
      <c r="AE29" s="13">
        <v>-0.8295473009170361</v>
      </c>
      <c r="AF29" s="11">
        <v>2475078.7752862084</v>
      </c>
      <c r="AG29" s="12">
        <v>1.6905948557597785</v>
      </c>
      <c r="AH29" s="11">
        <v>2991649.5527751073</v>
      </c>
      <c r="AI29" s="12">
        <v>1.539601082513486</v>
      </c>
      <c r="AJ29" s="10"/>
      <c r="AK29" s="10"/>
      <c r="AL29" s="10"/>
      <c r="AM29" s="10"/>
      <c r="AN29" s="10"/>
      <c r="AO29" s="10"/>
      <c r="AP29" s="10"/>
      <c r="AQ29" s="10"/>
      <c r="AR29" s="14">
        <v>33002.491185080624</v>
      </c>
      <c r="AS29" s="12">
        <v>23.748041651251587</v>
      </c>
      <c r="AT29" s="12">
        <v>31.426198326717156</v>
      </c>
      <c r="AU29" s="12">
        <v>45.276292301486841</v>
      </c>
      <c r="AV29" s="12">
        <v>28.548050644407923</v>
      </c>
      <c r="AW29" s="12">
        <v>35.642219179921945</v>
      </c>
      <c r="AX29" s="14">
        <v>1017.7724459881762</v>
      </c>
      <c r="AY29" s="14">
        <v>713.16195710044531</v>
      </c>
      <c r="AZ29" s="14">
        <v>1116.9092534138615</v>
      </c>
      <c r="BA29" s="14">
        <v>900.66846178258481</v>
      </c>
      <c r="BB29" s="10">
        <v>87927</v>
      </c>
    </row>
    <row r="30" spans="1:54" ht="15.5" thickTop="1" thickBot="1">
      <c r="A30" s="9" t="s">
        <v>154</v>
      </c>
      <c r="B30" s="10" t="s">
        <v>155</v>
      </c>
      <c r="C30" s="10" t="s">
        <v>156</v>
      </c>
      <c r="D30" s="10" t="s">
        <v>74</v>
      </c>
      <c r="E30" s="11">
        <v>5.23</v>
      </c>
      <c r="F30" s="12">
        <v>5.0863623331546516E-2</v>
      </c>
      <c r="G30" s="13">
        <v>-0.31825788569945312</v>
      </c>
      <c r="H30" s="13">
        <v>-0.31458302315322251</v>
      </c>
      <c r="I30" s="10"/>
      <c r="J30" s="10"/>
      <c r="K30" s="11">
        <v>16.329999999999998</v>
      </c>
      <c r="L30" s="11">
        <v>4.29</v>
      </c>
      <c r="M30" s="11">
        <v>440785.27507269487</v>
      </c>
      <c r="N30" s="11">
        <v>20876441.17872294</v>
      </c>
      <c r="O30" s="11">
        <v>523000000.00000006</v>
      </c>
      <c r="P30" s="12">
        <v>1.2624955727814512E-3</v>
      </c>
      <c r="Q30" s="11">
        <v>42525494.835388042</v>
      </c>
      <c r="R30" s="13">
        <v>-2.3862985904585576E-2</v>
      </c>
      <c r="S30" s="13">
        <v>-0.15841307607583532</v>
      </c>
      <c r="T30" s="13">
        <v>-0.24816504982674281</v>
      </c>
      <c r="U30" s="13">
        <v>-0.3181515170885626</v>
      </c>
      <c r="V30" s="13">
        <v>-0.3181515170885626</v>
      </c>
      <c r="W30" s="11">
        <v>50530127.817456454</v>
      </c>
      <c r="X30" s="11">
        <v>56562274.506643012</v>
      </c>
      <c r="Y30" s="11">
        <v>62367954.026688814</v>
      </c>
      <c r="Z30" s="11">
        <v>62367954.026688814</v>
      </c>
      <c r="AA30" s="11">
        <v>15167721479.9468</v>
      </c>
      <c r="AB30" s="11">
        <v>608657.83806624438</v>
      </c>
      <c r="AC30" s="12">
        <v>8.3033410445924494E-2</v>
      </c>
      <c r="AD30" s="11">
        <v>1739093.5450295168</v>
      </c>
      <c r="AE30" s="12">
        <v>0.109742894131728</v>
      </c>
      <c r="AF30" s="11">
        <v>3843647.4814189407</v>
      </c>
      <c r="AG30" s="12">
        <v>0.50822130657557074</v>
      </c>
      <c r="AH30" s="11">
        <v>5493800.3714149054</v>
      </c>
      <c r="AI30" s="10"/>
      <c r="AJ30" s="10"/>
      <c r="AK30" s="10"/>
      <c r="AL30" s="10"/>
      <c r="AM30" s="10"/>
      <c r="AN30" s="10"/>
      <c r="AO30" s="10"/>
      <c r="AP30" s="10"/>
      <c r="AQ30" s="10"/>
      <c r="AR30" s="14">
        <v>25.541569175014033</v>
      </c>
      <c r="AS30" s="13">
        <v>-7.1100068369864045E-2</v>
      </c>
      <c r="AT30" s="13">
        <v>-0.24914398434656138</v>
      </c>
      <c r="AU30" s="13">
        <v>-0.35489532801702439</v>
      </c>
      <c r="AV30" s="13">
        <v>-0.58152633319567582</v>
      </c>
      <c r="AW30" s="13">
        <v>-0.58152633319567582</v>
      </c>
      <c r="AX30" s="14">
        <v>34.0166005765916</v>
      </c>
      <c r="AY30" s="14">
        <v>39.592906832471485</v>
      </c>
      <c r="AZ30" s="14">
        <v>61.035069112143489</v>
      </c>
      <c r="BA30" s="14">
        <v>61.035069112143489</v>
      </c>
      <c r="BB30" s="10">
        <v>6801</v>
      </c>
    </row>
    <row r="31" spans="1:54" ht="15.5" thickTop="1" thickBot="1">
      <c r="A31" s="9" t="s">
        <v>157</v>
      </c>
      <c r="B31" s="10" t="s">
        <v>158</v>
      </c>
      <c r="C31" s="10" t="s">
        <v>159</v>
      </c>
      <c r="D31" s="10" t="s">
        <v>89</v>
      </c>
      <c r="E31" s="11">
        <v>69.69</v>
      </c>
      <c r="F31" s="12">
        <v>6.802461916552334E-2</v>
      </c>
      <c r="G31" s="13">
        <v>-0.44558315194427811</v>
      </c>
      <c r="H31" s="13">
        <v>-0.65531753907703338</v>
      </c>
      <c r="I31" s="13">
        <v>-0.7411554304553194</v>
      </c>
      <c r="J31" s="13">
        <v>-0.36775517508213629</v>
      </c>
      <c r="K31" s="11">
        <v>5078.47</v>
      </c>
      <c r="L31" s="11">
        <v>54.3</v>
      </c>
      <c r="M31" s="11">
        <v>2319340.0792243779</v>
      </c>
      <c r="N31" s="11">
        <v>38092620.598193802</v>
      </c>
      <c r="O31" s="11">
        <v>48115369.799999997</v>
      </c>
      <c r="P31" s="12">
        <v>3.5411489323968988E-2</v>
      </c>
      <c r="Q31" s="11">
        <v>334139917.11413646</v>
      </c>
      <c r="R31" s="13">
        <v>-5.2334766441922809E-2</v>
      </c>
      <c r="S31" s="13">
        <v>-0.21429677505212519</v>
      </c>
      <c r="T31" s="13">
        <v>-0.34233348985777889</v>
      </c>
      <c r="U31" s="13">
        <v>-0.37951665732465123</v>
      </c>
      <c r="V31" s="13">
        <v>-0.39525181175650614</v>
      </c>
      <c r="W31" s="11">
        <v>425274972.15797222</v>
      </c>
      <c r="X31" s="11">
        <v>508068925.45262545</v>
      </c>
      <c r="Y31" s="11">
        <v>538515531.57481968</v>
      </c>
      <c r="Z31" s="11">
        <v>552527355.36861074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>
        <v>48405</v>
      </c>
    </row>
    <row r="32" spans="1:54" ht="15.5" thickTop="1" thickBot="1">
      <c r="A32" s="9" t="s">
        <v>160</v>
      </c>
      <c r="B32" s="10" t="s">
        <v>161</v>
      </c>
      <c r="C32" s="10" t="s">
        <v>162</v>
      </c>
      <c r="D32" s="10" t="s">
        <v>163</v>
      </c>
      <c r="E32" s="11">
        <v>0.114512</v>
      </c>
      <c r="F32" s="12">
        <v>0.18238785680602232</v>
      </c>
      <c r="G32" s="13">
        <v>-0.29988961836504613</v>
      </c>
      <c r="H32" s="13">
        <v>-0.18364551635622572</v>
      </c>
      <c r="I32" s="13">
        <v>-0.68547343488385493</v>
      </c>
      <c r="J32" s="13">
        <v>-0.57246388630275535</v>
      </c>
      <c r="K32" s="11">
        <v>0.64209300000000002</v>
      </c>
      <c r="L32" s="11">
        <v>4.3293289999999998E-2</v>
      </c>
      <c r="M32" s="11">
        <v>3463344.4289875724</v>
      </c>
      <c r="N32" s="11">
        <v>61526810.988652825</v>
      </c>
      <c r="O32" s="11">
        <v>344911276.29465598</v>
      </c>
      <c r="P32" s="12">
        <v>1.5201285997392747E-2</v>
      </c>
      <c r="Q32" s="11">
        <v>41907365.792799994</v>
      </c>
      <c r="R32" s="13">
        <v>-3.0116422934890141E-2</v>
      </c>
      <c r="S32" s="13">
        <v>-0.17287002822963993</v>
      </c>
      <c r="T32" s="13">
        <v>-0.29658552587476716</v>
      </c>
      <c r="U32" s="13">
        <v>-0.32192884912330655</v>
      </c>
      <c r="V32" s="13">
        <v>-0.37365520179816336</v>
      </c>
      <c r="W32" s="11">
        <v>50665998.359487489</v>
      </c>
      <c r="X32" s="11">
        <v>59577059.236541942</v>
      </c>
      <c r="Y32" s="11">
        <v>61803788.19924283</v>
      </c>
      <c r="Z32" s="11">
        <v>66907821.240171842</v>
      </c>
      <c r="AA32" s="11">
        <v>1231363289.5646336</v>
      </c>
      <c r="AB32" s="11">
        <v>4179611.155414301</v>
      </c>
      <c r="AC32" s="12">
        <v>0.66596569110133785</v>
      </c>
      <c r="AD32" s="11">
        <v>8061176.4870123044</v>
      </c>
      <c r="AE32" s="12">
        <v>0.84991929666172572</v>
      </c>
      <c r="AF32" s="11">
        <v>14655854.862521175</v>
      </c>
      <c r="AG32" s="13">
        <v>-8.8297357958411204E-4</v>
      </c>
      <c r="AH32" s="11">
        <v>31553515.226923354</v>
      </c>
      <c r="AI32" s="12">
        <v>1.1595492223364272</v>
      </c>
      <c r="AJ32" s="11">
        <v>677040.2451151429</v>
      </c>
      <c r="AK32" s="12">
        <v>1.2679153206287319</v>
      </c>
      <c r="AL32" s="11">
        <v>1045815.3966165378</v>
      </c>
      <c r="AM32" s="12">
        <v>2.2350318334438075</v>
      </c>
      <c r="AN32" s="11">
        <v>1650874.2731862557</v>
      </c>
      <c r="AO32" s="12">
        <v>0.93834144477514769</v>
      </c>
      <c r="AP32" s="11">
        <v>3293561.9952311292</v>
      </c>
      <c r="AQ32" s="12">
        <v>0.66674398004696434</v>
      </c>
      <c r="AR32" s="14">
        <v>3.6339403401255499</v>
      </c>
      <c r="AS32" s="13">
        <v>-2.1851614835285305E-2</v>
      </c>
      <c r="AT32" s="13">
        <v>-0.38442070206898249</v>
      </c>
      <c r="AU32" s="13">
        <v>-0.60920675491828158</v>
      </c>
      <c r="AV32" s="13">
        <v>-0.73647580630115372</v>
      </c>
      <c r="AW32" s="13">
        <v>-0.73904734270830419</v>
      </c>
      <c r="AX32" s="14">
        <v>5.9032854943942139</v>
      </c>
      <c r="AY32" s="14">
        <v>9.2988821732721085</v>
      </c>
      <c r="AZ32" s="14">
        <v>13.78977880216339</v>
      </c>
      <c r="BA32" s="14">
        <v>13.925669038363122</v>
      </c>
      <c r="BB32" s="10">
        <v>18183</v>
      </c>
    </row>
    <row r="33" spans="1:54" ht="15.5" thickTop="1" thickBot="1">
      <c r="A33" s="9" t="s">
        <v>164</v>
      </c>
      <c r="B33" s="10" t="s">
        <v>164</v>
      </c>
      <c r="C33" s="10" t="s">
        <v>165</v>
      </c>
      <c r="D33" s="10" t="s">
        <v>74</v>
      </c>
      <c r="E33" s="11">
        <v>4.9636439999999997E-2</v>
      </c>
      <c r="F33" s="12">
        <v>0.22492912799542078</v>
      </c>
      <c r="G33" s="13">
        <v>-0.45851684596791153</v>
      </c>
      <c r="H33" s="13">
        <v>-0.60473077931155428</v>
      </c>
      <c r="I33" s="13">
        <v>-0.19263601364520133</v>
      </c>
      <c r="J33" s="12">
        <v>0.10809581456997042</v>
      </c>
      <c r="K33" s="11">
        <v>0.40967399999999998</v>
      </c>
      <c r="L33" s="11">
        <v>5.6381299999999999E-3</v>
      </c>
      <c r="M33" s="11">
        <v>1630644.0462270048</v>
      </c>
      <c r="N33" s="11">
        <v>27904487.819209382</v>
      </c>
      <c r="O33" s="11">
        <v>49636440</v>
      </c>
      <c r="P33" s="12">
        <v>4.5674633019030991E-2</v>
      </c>
      <c r="Q33" s="11">
        <v>15126438.514742713</v>
      </c>
      <c r="R33" s="13">
        <v>-0.11952963517476134</v>
      </c>
      <c r="S33" s="13">
        <v>-0.29237538468842073</v>
      </c>
      <c r="T33" s="13">
        <v>-0.40457575335987406</v>
      </c>
      <c r="U33" s="13">
        <v>-0.3903190876893915</v>
      </c>
      <c r="V33" s="13">
        <v>-0.3903190876893915</v>
      </c>
      <c r="W33" s="11">
        <v>21376359.990080733</v>
      </c>
      <c r="X33" s="11">
        <v>25404471.853638038</v>
      </c>
      <c r="Y33" s="11">
        <v>24810418.383307345</v>
      </c>
      <c r="Z33" s="11">
        <v>24810418.383307345</v>
      </c>
      <c r="AA33" s="11">
        <v>28863020.439601094</v>
      </c>
      <c r="AB33" s="11">
        <v>1268.9510709351455</v>
      </c>
      <c r="AC33" s="13">
        <v>-1.4330309341334169E-2</v>
      </c>
      <c r="AD33" s="11">
        <v>7354.1394544737041</v>
      </c>
      <c r="AE33" s="13">
        <v>-0.16673124720087174</v>
      </c>
      <c r="AF33" s="11">
        <v>30020.03375891062</v>
      </c>
      <c r="AG33" s="13">
        <v>-0.68765368077709854</v>
      </c>
      <c r="AH33" s="11">
        <v>87587.743797285715</v>
      </c>
      <c r="AI33" s="13">
        <v>-0.71599161727375504</v>
      </c>
      <c r="AJ33" s="11">
        <v>1268.9510709351455</v>
      </c>
      <c r="AK33" s="13">
        <v>-1.4330309341334169E-2</v>
      </c>
      <c r="AL33" s="11">
        <v>7354.1394544737041</v>
      </c>
      <c r="AM33" s="13">
        <v>-0.16673124720087174</v>
      </c>
      <c r="AN33" s="11">
        <v>30020.03375891062</v>
      </c>
      <c r="AO33" s="13">
        <v>-0.68765368077709854</v>
      </c>
      <c r="AP33" s="11">
        <v>87587.743797285715</v>
      </c>
      <c r="AQ33" s="13">
        <v>-0.71599161727375504</v>
      </c>
      <c r="AR33" s="14">
        <v>573.24146080356195</v>
      </c>
      <c r="AS33" s="12">
        <v>8.6090686056126353E-2</v>
      </c>
      <c r="AT33" s="13">
        <v>-0.23414562012515661</v>
      </c>
      <c r="AU33" s="13">
        <v>-0.59178854930880265</v>
      </c>
      <c r="AV33" s="13">
        <v>-0.40770996768684775</v>
      </c>
      <c r="AW33" s="13">
        <v>-1.1188536657162573E-2</v>
      </c>
      <c r="AX33" s="14">
        <v>748.49929159802105</v>
      </c>
      <c r="AY33" s="14">
        <v>1404.2757983219974</v>
      </c>
      <c r="AZ33" s="14">
        <v>967.83911517943795</v>
      </c>
      <c r="BA33" s="14">
        <v>579.72776616649071</v>
      </c>
      <c r="BB33" s="10">
        <v>51653</v>
      </c>
    </row>
    <row r="34" spans="1:54" ht="15.5" thickTop="1" thickBot="1">
      <c r="A34" s="9" t="s">
        <v>166</v>
      </c>
      <c r="B34" s="10" t="s">
        <v>167</v>
      </c>
      <c r="C34" s="10" t="s">
        <v>168</v>
      </c>
      <c r="D34" s="10" t="s">
        <v>89</v>
      </c>
      <c r="E34" s="11">
        <v>7.62</v>
      </c>
      <c r="F34" s="13">
        <v>-2.7948822629637673E-2</v>
      </c>
      <c r="G34" s="13">
        <v>-0.47377656276653268</v>
      </c>
      <c r="H34" s="13">
        <v>-0.30443744644117798</v>
      </c>
      <c r="I34" s="13">
        <v>-0.49374093506042704</v>
      </c>
      <c r="J34" s="10"/>
      <c r="K34" s="11">
        <v>30.65</v>
      </c>
      <c r="L34" s="11">
        <v>0.78968300000000002</v>
      </c>
      <c r="M34" s="11">
        <v>237564.99783484841</v>
      </c>
      <c r="N34" s="11">
        <v>13278510.891181754</v>
      </c>
      <c r="O34" s="11">
        <v>99060000</v>
      </c>
      <c r="P34" s="12">
        <v>3.3205999365199558E-3</v>
      </c>
      <c r="Q34" s="11">
        <v>186926896.06313315</v>
      </c>
      <c r="R34" s="12">
        <v>5.6082317020978989E-2</v>
      </c>
      <c r="S34" s="13">
        <v>-0.13756020419221815</v>
      </c>
      <c r="T34" s="13">
        <v>-5.7590078604873973E-2</v>
      </c>
      <c r="U34" s="12">
        <v>0.23577747967266505</v>
      </c>
      <c r="V34" s="12">
        <v>0.61334307863360382</v>
      </c>
      <c r="W34" s="11">
        <v>216741965.02963191</v>
      </c>
      <c r="X34" s="11">
        <v>198349881.31959611</v>
      </c>
      <c r="Y34" s="11">
        <v>151262585.0024769</v>
      </c>
      <c r="Z34" s="11">
        <v>115863078.68345524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>
        <v>9580</v>
      </c>
    </row>
    <row r="35" spans="1:54" ht="15.5" thickTop="1" thickBot="1">
      <c r="A35" s="9" t="s">
        <v>169</v>
      </c>
      <c r="B35" s="10" t="s">
        <v>170</v>
      </c>
      <c r="C35" s="10" t="s">
        <v>171</v>
      </c>
      <c r="D35" s="10" t="s">
        <v>89</v>
      </c>
      <c r="E35" s="11">
        <v>25.34</v>
      </c>
      <c r="F35" s="13">
        <v>-1.201934777115919E-2</v>
      </c>
      <c r="G35" s="13">
        <v>-0.42255407714571214</v>
      </c>
      <c r="H35" s="13">
        <v>-0.28899482825716982</v>
      </c>
      <c r="I35" s="12">
        <v>1.8584843232505088E-2</v>
      </c>
      <c r="J35" s="12">
        <v>2.8002943872060877</v>
      </c>
      <c r="K35" s="11">
        <v>67.08</v>
      </c>
      <c r="L35" s="11">
        <v>1.33</v>
      </c>
      <c r="M35" s="11">
        <v>941017.91180744872</v>
      </c>
      <c r="N35" s="11">
        <v>43576026.307790816</v>
      </c>
      <c r="O35" s="11">
        <v>253400000</v>
      </c>
      <c r="P35" s="12">
        <v>2.9319652487140879E-3</v>
      </c>
      <c r="Q35" s="11">
        <v>197435542.71098068</v>
      </c>
      <c r="R35" s="13">
        <v>-8.925194564759209E-2</v>
      </c>
      <c r="S35" s="13">
        <v>-0.2583989302818408</v>
      </c>
      <c r="T35" s="13">
        <v>-0.21538228889126099</v>
      </c>
      <c r="U35" s="12">
        <v>0.13739260089936889</v>
      </c>
      <c r="V35" s="12">
        <v>0.58825213168992185</v>
      </c>
      <c r="W35" s="11">
        <v>266228772.81718972</v>
      </c>
      <c r="X35" s="11">
        <v>251632788.70162845</v>
      </c>
      <c r="Y35" s="11">
        <v>173586097.32018897</v>
      </c>
      <c r="Z35" s="11">
        <v>124309949.76906253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spans="1:54" ht="15.5" thickTop="1" thickBot="1">
      <c r="A36" s="9" t="s">
        <v>172</v>
      </c>
      <c r="B36" s="10" t="s">
        <v>173</v>
      </c>
      <c r="C36" s="10" t="s">
        <v>174</v>
      </c>
      <c r="D36" s="10" t="s">
        <v>89</v>
      </c>
      <c r="E36" s="11">
        <v>2.75</v>
      </c>
      <c r="F36" s="12">
        <v>4.9961738676945713E-2</v>
      </c>
      <c r="G36" s="13">
        <v>-0.50355576789673173</v>
      </c>
      <c r="H36" s="13">
        <v>-0.67448508612753066</v>
      </c>
      <c r="I36" s="13">
        <v>-0.71865340989232762</v>
      </c>
      <c r="J36" s="10"/>
      <c r="K36" s="11">
        <v>27.71</v>
      </c>
      <c r="L36" s="11">
        <v>1.01</v>
      </c>
      <c r="M36" s="11">
        <v>267255.9116223345</v>
      </c>
      <c r="N36" s="11">
        <v>9480919.1118063815</v>
      </c>
      <c r="O36" s="11">
        <v>27500000</v>
      </c>
      <c r="P36" s="12">
        <v>3.4832028199978608E-3</v>
      </c>
      <c r="Q36" s="11">
        <v>21997039.360151</v>
      </c>
      <c r="R36" s="13">
        <v>-9.2012777172232996E-2</v>
      </c>
      <c r="S36" s="13">
        <v>-0.25267037118172209</v>
      </c>
      <c r="T36" s="13">
        <v>-0.35611672618400803</v>
      </c>
      <c r="U36" s="13">
        <v>-0.34956520691741999</v>
      </c>
      <c r="V36" s="13">
        <v>-0.42337896100291839</v>
      </c>
      <c r="W36" s="11">
        <v>29434186.083233483</v>
      </c>
      <c r="X36" s="11">
        <v>34163085.538446963</v>
      </c>
      <c r="Y36" s="11">
        <v>33818977.081317097</v>
      </c>
      <c r="Z36" s="11">
        <v>38148173.362544149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>
        <v>13338</v>
      </c>
    </row>
    <row r="37" spans="1:54" ht="15.5" thickTop="1" thickBot="1">
      <c r="A37" s="9" t="s">
        <v>175</v>
      </c>
      <c r="B37" s="10" t="s">
        <v>176</v>
      </c>
      <c r="C37" s="10" t="s">
        <v>177</v>
      </c>
      <c r="D37" s="10" t="s">
        <v>178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>
        <v>4125589150</v>
      </c>
      <c r="R37" s="13">
        <v>-3.9239088565839908E-2</v>
      </c>
      <c r="S37" s="13">
        <v>-0.11066064504272466</v>
      </c>
      <c r="T37" s="12">
        <v>2.3244201457570668E-2</v>
      </c>
      <c r="U37" s="12">
        <v>0.64742543197846936</v>
      </c>
      <c r="V37" s="12">
        <v>1.9910733880196272</v>
      </c>
      <c r="W37" s="11">
        <v>4638936899.625</v>
      </c>
      <c r="X37" s="11">
        <v>4031871516.2258062</v>
      </c>
      <c r="Y37" s="11">
        <v>2504264575.4505496</v>
      </c>
      <c r="Z37" s="11">
        <v>1379300543.5856354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spans="1:54" ht="15.5" thickTop="1" thickBot="1">
      <c r="A38" s="9" t="s">
        <v>179</v>
      </c>
      <c r="B38" s="10" t="s">
        <v>180</v>
      </c>
      <c r="C38" s="10" t="s">
        <v>181</v>
      </c>
      <c r="D38" s="10" t="s">
        <v>74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>
        <v>106230630.0186253</v>
      </c>
      <c r="R38" s="13">
        <v>-5.2054439813641884E-2</v>
      </c>
      <c r="S38" s="13">
        <v>-0.38503562925591317</v>
      </c>
      <c r="T38" s="13">
        <v>-0.72194250704174867</v>
      </c>
      <c r="U38" s="13">
        <v>-0.74417062471344864</v>
      </c>
      <c r="V38" s="13">
        <v>-0.74417062471344864</v>
      </c>
      <c r="W38" s="11">
        <v>172742739.3721846</v>
      </c>
      <c r="X38" s="11">
        <v>382045557.8752383</v>
      </c>
      <c r="Y38" s="11">
        <v>415240157.23228687</v>
      </c>
      <c r="Z38" s="11">
        <v>415240157.23228687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>
        <v>6176</v>
      </c>
    </row>
    <row r="39" spans="1:54" ht="15.5" thickTop="1" thickBot="1">
      <c r="A39" s="9" t="s">
        <v>182</v>
      </c>
      <c r="B39" s="10" t="s">
        <v>183</v>
      </c>
      <c r="C39" s="10" t="s">
        <v>184</v>
      </c>
      <c r="D39" s="10" t="s">
        <v>185</v>
      </c>
      <c r="E39" s="11">
        <v>189.63</v>
      </c>
      <c r="F39" s="12">
        <v>0.13782176678861013</v>
      </c>
      <c r="G39" s="13">
        <v>-0.52901631368204105</v>
      </c>
      <c r="H39" s="13">
        <v>-0.40115942628438084</v>
      </c>
      <c r="I39" s="13">
        <v>-0.59406613579202083</v>
      </c>
      <c r="J39" s="12">
        <v>1.4540222130729576</v>
      </c>
      <c r="K39" s="11">
        <v>838.98</v>
      </c>
      <c r="L39" s="11">
        <v>15.61</v>
      </c>
      <c r="M39" s="11">
        <v>6329241.8964228025</v>
      </c>
      <c r="N39" s="11">
        <v>107157158.47633797</v>
      </c>
      <c r="O39" s="11">
        <v>222682509</v>
      </c>
      <c r="P39" s="12">
        <v>2.2388572934314673E-2</v>
      </c>
      <c r="Q39" s="11">
        <v>68882775.926799998</v>
      </c>
      <c r="R39" s="13">
        <v>-5.715138626518701E-2</v>
      </c>
      <c r="S39" s="13">
        <v>-0.23402097755451057</v>
      </c>
      <c r="T39" s="13">
        <v>-0.81868479736213939</v>
      </c>
      <c r="U39" s="13">
        <v>-0.8028638441356567</v>
      </c>
      <c r="V39" s="13">
        <v>-0.73284237185762047</v>
      </c>
      <c r="W39" s="11">
        <v>89927757.6909125</v>
      </c>
      <c r="X39" s="11">
        <v>379906234.69328713</v>
      </c>
      <c r="Y39" s="11">
        <v>349417262.52489573</v>
      </c>
      <c r="Z39" s="11">
        <v>257835706.97853881</v>
      </c>
      <c r="AA39" s="11">
        <v>57241077253.777153</v>
      </c>
      <c r="AB39" s="11">
        <v>2.092596621972043E-2</v>
      </c>
      <c r="AC39" s="13">
        <v>-0.27641941986641172</v>
      </c>
      <c r="AD39" s="11">
        <v>5517227.1104978574</v>
      </c>
      <c r="AE39" s="13">
        <v>-0.38249864600443884</v>
      </c>
      <c r="AF39" s="11">
        <v>24656807.846006755</v>
      </c>
      <c r="AG39" s="13">
        <v>-0.62617790061816347</v>
      </c>
      <c r="AH39" s="11">
        <v>49098763.922991589</v>
      </c>
      <c r="AI39" s="12">
        <v>3.0113398817177268</v>
      </c>
      <c r="AJ39" s="11">
        <v>2.092596621972043E-2</v>
      </c>
      <c r="AK39" s="13">
        <v>-0.27641941986641172</v>
      </c>
      <c r="AL39" s="11">
        <v>5517227.1104978574</v>
      </c>
      <c r="AM39" s="13">
        <v>-0.38249864600443884</v>
      </c>
      <c r="AN39" s="11">
        <v>24656807.846006755</v>
      </c>
      <c r="AO39" s="13">
        <v>-0.62617790061816347</v>
      </c>
      <c r="AP39" s="11">
        <v>49098763.922991589</v>
      </c>
      <c r="AQ39" s="12">
        <v>3.0113398817177268</v>
      </c>
      <c r="AR39" s="14">
        <v>3.4279468036343954</v>
      </c>
      <c r="AS39" s="13">
        <v>-3.5143353149227119E-2</v>
      </c>
      <c r="AT39" s="13">
        <v>-0.24302229938724751</v>
      </c>
      <c r="AU39" s="13">
        <v>-0.25160924218208802</v>
      </c>
      <c r="AV39" s="13">
        <v>-0.11941532081412243</v>
      </c>
      <c r="AW39" s="13">
        <v>-0.1276479544379121</v>
      </c>
      <c r="AX39" s="14">
        <v>4.5284647102015914</v>
      </c>
      <c r="AY39" s="14">
        <v>4.5804237529994136</v>
      </c>
      <c r="AZ39" s="14">
        <v>3.8928076818275072</v>
      </c>
      <c r="BA39" s="14">
        <v>3.9295452117907805</v>
      </c>
      <c r="BB39" s="10">
        <v>20227</v>
      </c>
    </row>
    <row r="40" spans="1:54" ht="15.5" thickTop="1" thickBot="1">
      <c r="A40" s="9" t="s">
        <v>186</v>
      </c>
      <c r="B40" s="10" t="s">
        <v>187</v>
      </c>
      <c r="C40" s="10" t="s">
        <v>188</v>
      </c>
      <c r="D40" s="10" t="s">
        <v>189</v>
      </c>
      <c r="E40" s="11">
        <v>0.289022</v>
      </c>
      <c r="F40" s="12">
        <v>0.13938830059607435</v>
      </c>
      <c r="G40" s="13">
        <v>-0.37661514957425324</v>
      </c>
      <c r="H40" s="13">
        <v>-0.38537344288596653</v>
      </c>
      <c r="I40" s="13">
        <v>-0.21254209952461312</v>
      </c>
      <c r="J40" s="13">
        <v>-0.15272486571478172</v>
      </c>
      <c r="K40" s="11">
        <v>6.1</v>
      </c>
      <c r="L40" s="11">
        <v>0.17713799999999999</v>
      </c>
      <c r="M40" s="11">
        <v>3289175.7268899968</v>
      </c>
      <c r="N40" s="11">
        <v>126717569.50187594</v>
      </c>
      <c r="O40" s="11">
        <v>289022000</v>
      </c>
      <c r="P40" s="12">
        <v>5.3216885837466671E-3</v>
      </c>
      <c r="Q40" s="11">
        <v>188383203.15802711</v>
      </c>
      <c r="R40" s="13">
        <v>-0.13411246095585205</v>
      </c>
      <c r="S40" s="13">
        <v>-0.31955119911119745</v>
      </c>
      <c r="T40" s="13">
        <v>-0.45021449510110467</v>
      </c>
      <c r="U40" s="13">
        <v>-0.4348273247848875</v>
      </c>
      <c r="V40" s="13">
        <v>-0.28948618536669257</v>
      </c>
      <c r="W40" s="11">
        <v>276851400.00535071</v>
      </c>
      <c r="X40" s="11">
        <v>342648544.71321589</v>
      </c>
      <c r="Y40" s="11">
        <v>333319729.38416719</v>
      </c>
      <c r="Z40" s="11">
        <v>265136580.42701215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>
        <v>18738</v>
      </c>
    </row>
    <row r="41" spans="1:54" ht="15.5" thickTop="1" thickBot="1">
      <c r="A41" s="9" t="s">
        <v>190</v>
      </c>
      <c r="B41" s="10" t="s">
        <v>191</v>
      </c>
      <c r="C41" s="10" t="s">
        <v>192</v>
      </c>
      <c r="D41" s="10" t="s">
        <v>105</v>
      </c>
      <c r="E41" s="11">
        <v>271.99</v>
      </c>
      <c r="F41" s="13">
        <v>-0.11435446558731105</v>
      </c>
      <c r="G41" s="13">
        <v>-0.49992010127279529</v>
      </c>
      <c r="H41" s="13">
        <v>-0.18482781158698758</v>
      </c>
      <c r="I41" s="13">
        <v>-7.4844111508158839E-3</v>
      </c>
      <c r="J41" s="12">
        <v>4.6666614804543576</v>
      </c>
      <c r="K41" s="11">
        <v>621.71</v>
      </c>
      <c r="L41" s="11">
        <v>0.87657200000000002</v>
      </c>
      <c r="M41" s="11">
        <v>531308253.31040615</v>
      </c>
      <c r="N41" s="11">
        <v>2427219891.8232222</v>
      </c>
      <c r="O41" s="11">
        <v>2719900000</v>
      </c>
      <c r="P41" s="12">
        <v>0.25215875993623249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>
        <v>22692239414.230129</v>
      </c>
      <c r="AB41" s="11">
        <v>1562.9455259905849</v>
      </c>
      <c r="AC41" s="13">
        <v>-0.23021489601304479</v>
      </c>
      <c r="AD41" s="11">
        <v>44133.05129484085</v>
      </c>
      <c r="AE41" s="13">
        <v>-0.41110623205150609</v>
      </c>
      <c r="AF41" s="11">
        <v>157900.09487899271</v>
      </c>
      <c r="AG41" s="12">
        <v>1.225419210989263</v>
      </c>
      <c r="AH41" s="11">
        <v>190445.9606864462</v>
      </c>
      <c r="AI41" s="12">
        <v>11.469741867613633</v>
      </c>
      <c r="AJ41" s="11">
        <v>1250.3564207924678</v>
      </c>
      <c r="AK41" s="13">
        <v>-0.23021489601304457</v>
      </c>
      <c r="AL41" s="11">
        <v>35306.441035872675</v>
      </c>
      <c r="AM41" s="13">
        <v>-0.41110623205150643</v>
      </c>
      <c r="AN41" s="11">
        <v>126320.07590319424</v>
      </c>
      <c r="AO41" s="12">
        <v>1.2254192109892621</v>
      </c>
      <c r="AP41" s="11">
        <v>152356.76854915704</v>
      </c>
      <c r="AQ41" s="12">
        <v>11.46974186761363</v>
      </c>
      <c r="AR41" s="14">
        <v>5234.290371997382</v>
      </c>
      <c r="AS41" s="13">
        <v>-0.15714176112913503</v>
      </c>
      <c r="AT41" s="13">
        <v>-0.28356391990157492</v>
      </c>
      <c r="AU41" s="13">
        <v>-3.0292512859604437E-2</v>
      </c>
      <c r="AV41" s="13">
        <v>-0.14729381170282352</v>
      </c>
      <c r="AW41" s="13">
        <v>-0.27676113645120914</v>
      </c>
      <c r="AX41" s="14">
        <v>7306.0116839429511</v>
      </c>
      <c r="AY41" s="14">
        <v>5397.8034009337853</v>
      </c>
      <c r="AZ41" s="14">
        <v>6138.445391665412</v>
      </c>
      <c r="BA41" s="14">
        <v>7237.2913511778788</v>
      </c>
      <c r="BB41" s="10">
        <v>66965</v>
      </c>
    </row>
    <row r="42" spans="1:54" ht="15.5" thickTop="1" thickBot="1">
      <c r="A42" s="9" t="s">
        <v>193</v>
      </c>
      <c r="B42" s="10" t="s">
        <v>194</v>
      </c>
      <c r="C42" s="10" t="s">
        <v>195</v>
      </c>
      <c r="D42" s="10" t="s">
        <v>74</v>
      </c>
      <c r="E42" s="11">
        <v>1.64</v>
      </c>
      <c r="F42" s="12">
        <v>8.0783986187347168E-2</v>
      </c>
      <c r="G42" s="13">
        <v>-0.36704443408037879</v>
      </c>
      <c r="H42" s="13">
        <v>-0.33494379494122828</v>
      </c>
      <c r="I42" s="13">
        <v>-8.1869654437818573E-2</v>
      </c>
      <c r="J42" s="12">
        <v>0.43469226034179353</v>
      </c>
      <c r="K42" s="11">
        <v>5.8</v>
      </c>
      <c r="L42" s="11">
        <v>0.116184</v>
      </c>
      <c r="M42" s="11">
        <v>117328136.01101337</v>
      </c>
      <c r="N42" s="11">
        <v>149786182.46580049</v>
      </c>
      <c r="O42" s="11">
        <v>370640000</v>
      </c>
      <c r="P42" s="12">
        <v>0.32362945542047178</v>
      </c>
      <c r="Q42" s="11">
        <v>33665702.690929867</v>
      </c>
      <c r="R42" s="13">
        <v>-6.2857595198867244E-2</v>
      </c>
      <c r="S42" s="13">
        <v>-0.15302919180921948</v>
      </c>
      <c r="T42" s="13">
        <v>-0.28185382351970401</v>
      </c>
      <c r="U42" s="12">
        <v>7.2747691662184311E-2</v>
      </c>
      <c r="V42" s="12">
        <v>0.63985076257050522</v>
      </c>
      <c r="W42" s="11">
        <v>39748362.476439275</v>
      </c>
      <c r="X42" s="11">
        <v>46878621.363590263</v>
      </c>
      <c r="Y42" s="11">
        <v>31382684.812647849</v>
      </c>
      <c r="Z42" s="11">
        <v>20529735.668237317</v>
      </c>
      <c r="AA42" s="11">
        <v>3858331943.0039186</v>
      </c>
      <c r="AB42" s="11">
        <v>223691.49340104527</v>
      </c>
      <c r="AC42" s="12">
        <v>9.7098493271064346E-2</v>
      </c>
      <c r="AD42" s="11">
        <v>655387.89168833662</v>
      </c>
      <c r="AE42" s="12">
        <v>0.20377384280393485</v>
      </c>
      <c r="AF42" s="11">
        <v>1941499.5363141594</v>
      </c>
      <c r="AG42" s="13">
        <v>-0.55987821660483517</v>
      </c>
      <c r="AH42" s="11">
        <v>5615730.3710893877</v>
      </c>
      <c r="AI42" s="12">
        <v>0.27621915074827008</v>
      </c>
      <c r="AJ42" s="11">
        <v>167768.62005078397</v>
      </c>
      <c r="AK42" s="12">
        <v>9.7098493271064124E-2</v>
      </c>
      <c r="AL42" s="11">
        <v>491540.91876625246</v>
      </c>
      <c r="AM42" s="12">
        <v>0.2037738428039344</v>
      </c>
      <c r="AN42" s="11">
        <v>1456124.6522356193</v>
      </c>
      <c r="AO42" s="13">
        <v>-0.55987821660483517</v>
      </c>
      <c r="AP42" s="11">
        <v>4211797.7783170426</v>
      </c>
      <c r="AQ42" s="12">
        <v>0.27621915074826986</v>
      </c>
      <c r="AR42" s="14">
        <v>48.031118819631281</v>
      </c>
      <c r="AS42" s="13">
        <v>-4.2940778388812051E-2</v>
      </c>
      <c r="AT42" s="13">
        <v>-0.27526965116575952</v>
      </c>
      <c r="AU42" s="13">
        <v>-0.52061311952426448</v>
      </c>
      <c r="AV42" s="13">
        <v>-0.40144310755151791</v>
      </c>
      <c r="AW42" s="13">
        <v>-6.3404325906607939E-2</v>
      </c>
      <c r="AX42" s="14">
        <v>66.274468699829356</v>
      </c>
      <c r="AY42" s="14">
        <v>100.19281039140246</v>
      </c>
      <c r="AZ42" s="14">
        <v>80.244867990999424</v>
      </c>
      <c r="BA42" s="14">
        <v>51.282661396151063</v>
      </c>
      <c r="BB42" s="10">
        <v>163252</v>
      </c>
    </row>
    <row r="43" spans="1:54" ht="15.5" thickTop="1" thickBot="1">
      <c r="A43" s="9" t="s">
        <v>196</v>
      </c>
      <c r="B43" s="10" t="s">
        <v>197</v>
      </c>
      <c r="C43" s="10" t="s">
        <v>198</v>
      </c>
      <c r="D43" s="10" t="s">
        <v>185</v>
      </c>
      <c r="E43" s="11">
        <v>2.1800000000000002</v>
      </c>
      <c r="F43" s="12">
        <v>0.48753763780037007</v>
      </c>
      <c r="G43" s="13">
        <v>-0.32859018300764431</v>
      </c>
      <c r="H43" s="12">
        <v>1.4761445074647237</v>
      </c>
      <c r="I43" s="12">
        <v>0.75274138392034073</v>
      </c>
      <c r="J43" s="10"/>
      <c r="K43" s="11">
        <v>5.74</v>
      </c>
      <c r="L43" s="11">
        <v>0.50550600000000001</v>
      </c>
      <c r="M43" s="11">
        <v>5183281.7830181308</v>
      </c>
      <c r="N43" s="11">
        <v>62945728.914317213</v>
      </c>
      <c r="O43" s="11">
        <v>2180000000</v>
      </c>
      <c r="P43" s="12">
        <v>2.1208519487670822E-3</v>
      </c>
      <c r="Q43" s="11">
        <v>1268520009.2069798</v>
      </c>
      <c r="R43" s="13">
        <v>-4.1379076861957853E-2</v>
      </c>
      <c r="S43" s="13">
        <v>-0.23430346151093029</v>
      </c>
      <c r="T43" s="13">
        <v>-0.24379680646306301</v>
      </c>
      <c r="U43" s="12">
        <v>0.40554632157781567</v>
      </c>
      <c r="V43" s="12">
        <v>0.85991061505847566</v>
      </c>
      <c r="W43" s="11">
        <v>1656687663.3791754</v>
      </c>
      <c r="X43" s="11">
        <v>1677485654.7138062</v>
      </c>
      <c r="Y43" s="11">
        <v>902510283.53372574</v>
      </c>
      <c r="Z43" s="11">
        <v>682032781.00388575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>
        <v>23254</v>
      </c>
    </row>
    <row r="44" spans="1:54" ht="15.5" thickTop="1" thickBot="1">
      <c r="A44" s="9" t="s">
        <v>199</v>
      </c>
      <c r="B44" s="10" t="s">
        <v>200</v>
      </c>
      <c r="C44" s="10" t="s">
        <v>198</v>
      </c>
      <c r="D44" s="10" t="s">
        <v>78</v>
      </c>
      <c r="E44" s="11">
        <v>9.94</v>
      </c>
      <c r="F44" s="12">
        <v>0.21589617689315449</v>
      </c>
      <c r="G44" s="13">
        <v>-0.36027785725569572</v>
      </c>
      <c r="H44" s="13">
        <v>-0.78693978818725008</v>
      </c>
      <c r="I44" s="10"/>
      <c r="J44" s="10"/>
      <c r="K44" s="11">
        <v>146.94</v>
      </c>
      <c r="L44" s="11">
        <v>6.61</v>
      </c>
      <c r="M44" s="11">
        <v>1709355.4560541185</v>
      </c>
      <c r="N44" s="11">
        <v>44822492.38947767</v>
      </c>
      <c r="O44" s="11">
        <v>994000000</v>
      </c>
      <c r="P44" s="12">
        <v>2.0680630710461323E-3</v>
      </c>
      <c r="Q44" s="11">
        <v>2059554712.244015</v>
      </c>
      <c r="R44" s="13">
        <v>-3.3231973945366144E-2</v>
      </c>
      <c r="S44" s="13">
        <v>-0.21786915876208812</v>
      </c>
      <c r="T44" s="13">
        <v>-0.38320389671545785</v>
      </c>
      <c r="U44" s="13">
        <v>-0.19041611599958952</v>
      </c>
      <c r="V44" s="13">
        <v>-0.19041611599958952</v>
      </c>
      <c r="W44" s="11">
        <v>2633261090.9247227</v>
      </c>
      <c r="X44" s="11">
        <v>3339117580.7962184</v>
      </c>
      <c r="Y44" s="11">
        <v>2543967034.110292</v>
      </c>
      <c r="Z44" s="11">
        <v>2543967034.110292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>
        <v>15455</v>
      </c>
    </row>
    <row r="45" spans="1:54" ht="15.5" thickTop="1" thickBot="1">
      <c r="A45" s="9" t="s">
        <v>201</v>
      </c>
      <c r="B45" s="10" t="s">
        <v>202</v>
      </c>
      <c r="C45" s="10" t="s">
        <v>203</v>
      </c>
      <c r="D45" s="10" t="s">
        <v>105</v>
      </c>
      <c r="E45" s="11">
        <v>152.78</v>
      </c>
      <c r="F45" s="13">
        <v>-7.2821277040522242E-2</v>
      </c>
      <c r="G45" s="13">
        <v>-0.48655064597775199</v>
      </c>
      <c r="H45" s="13">
        <v>-0.36522119614095139</v>
      </c>
      <c r="I45" s="13">
        <v>-0.26856666002938467</v>
      </c>
      <c r="J45" s="12">
        <v>0.71549451912601136</v>
      </c>
      <c r="K45" s="11">
        <v>410.26</v>
      </c>
      <c r="L45" s="11">
        <v>1.1499999999999999</v>
      </c>
      <c r="M45" s="11">
        <v>9051154107.6036358</v>
      </c>
      <c r="N45" s="11">
        <v>10198503723.279686</v>
      </c>
      <c r="O45" s="10"/>
      <c r="P45" s="12">
        <v>0.76662638966081642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>
        <v>183369289781.90247</v>
      </c>
      <c r="AB45" s="11">
        <v>38607.447358886813</v>
      </c>
      <c r="AC45" s="13">
        <v>-6.6924301530975505E-2</v>
      </c>
      <c r="AD45" s="11">
        <v>204789.56374979147</v>
      </c>
      <c r="AE45" s="12">
        <v>0.34709131554758521</v>
      </c>
      <c r="AF45" s="11">
        <v>453366.29129929002</v>
      </c>
      <c r="AG45" s="12">
        <v>1.1334183394368407</v>
      </c>
      <c r="AH45" s="11">
        <v>651387.84745347162</v>
      </c>
      <c r="AI45" s="12">
        <v>6.9664956993966767</v>
      </c>
      <c r="AJ45" s="10"/>
      <c r="AK45" s="10"/>
      <c r="AL45" s="10"/>
      <c r="AM45" s="10"/>
      <c r="AN45" s="10"/>
      <c r="AO45" s="10"/>
      <c r="AP45" s="10"/>
      <c r="AQ45" s="10"/>
      <c r="AR45" s="14">
        <v>4229.5821767791422</v>
      </c>
      <c r="AS45" s="13">
        <v>-0.24913949339774688</v>
      </c>
      <c r="AT45" s="13">
        <v>-0.38716700289416439</v>
      </c>
      <c r="AU45" s="13">
        <v>-0.51802701245893479</v>
      </c>
      <c r="AV45" s="13">
        <v>-0.57569055846432737</v>
      </c>
      <c r="AW45" s="13">
        <v>-0.65479428740165868</v>
      </c>
      <c r="AX45" s="14">
        <v>6901.6880565403007</v>
      </c>
      <c r="AY45" s="14">
        <v>8775.5585605692722</v>
      </c>
      <c r="AZ45" s="14">
        <v>9968.1547539251533</v>
      </c>
      <c r="BA45" s="14">
        <v>12252.352792609798</v>
      </c>
      <c r="BB45" s="10">
        <v>672578</v>
      </c>
    </row>
    <row r="46" spans="1:54" ht="15.5" thickTop="1" thickBot="1">
      <c r="A46" s="9" t="s">
        <v>204</v>
      </c>
      <c r="B46" s="10" t="s">
        <v>205</v>
      </c>
      <c r="C46" s="10" t="s">
        <v>206</v>
      </c>
      <c r="D46" s="10" t="s">
        <v>207</v>
      </c>
      <c r="E46" s="11">
        <v>17.190000000000001</v>
      </c>
      <c r="F46" s="12">
        <v>0.20097443209084231</v>
      </c>
      <c r="G46" s="13">
        <v>-0.42150668726609952</v>
      </c>
      <c r="H46" s="13">
        <v>-0.3749494649807249</v>
      </c>
      <c r="I46" s="12">
        <v>3.4889504427641302</v>
      </c>
      <c r="J46" s="12">
        <v>12.072778401721239</v>
      </c>
      <c r="K46" s="11">
        <v>45.44</v>
      </c>
      <c r="L46" s="11">
        <v>0.354051</v>
      </c>
      <c r="M46" s="11">
        <v>20352874.042372052</v>
      </c>
      <c r="N46" s="11">
        <v>399977516.788082</v>
      </c>
      <c r="O46" s="11">
        <v>406843826.49000001</v>
      </c>
      <c r="P46" s="12">
        <v>2.6251749007187804E-2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>
        <v>3029.0104695298642</v>
      </c>
      <c r="AC46" s="13">
        <v>-3.2766962217719575E-2</v>
      </c>
      <c r="AD46" s="11">
        <v>19745.133251741296</v>
      </c>
      <c r="AE46" s="12">
        <v>0.32454704041485205</v>
      </c>
      <c r="AF46" s="11">
        <v>51436.028171682105</v>
      </c>
      <c r="AG46" s="12">
        <v>0.33612900567484294</v>
      </c>
      <c r="AH46" s="11">
        <v>78832.792341138178</v>
      </c>
      <c r="AI46" s="12">
        <v>16.112099554607667</v>
      </c>
      <c r="AJ46" s="11">
        <v>345.22610950991844</v>
      </c>
      <c r="AK46" s="13">
        <v>-7.7255850336286347E-2</v>
      </c>
      <c r="AL46" s="11">
        <v>3425.8535331041585</v>
      </c>
      <c r="AM46" s="12">
        <v>0.10707480967196847</v>
      </c>
      <c r="AN46" s="11">
        <v>10193.293245510622</v>
      </c>
      <c r="AO46" s="12">
        <v>0.61597462620141608</v>
      </c>
      <c r="AP46" s="11">
        <v>13740.727335039574</v>
      </c>
      <c r="AQ46" s="12">
        <v>28.584753135753026</v>
      </c>
      <c r="AR46" s="14">
        <v>1749.9937222803867</v>
      </c>
      <c r="AS46" s="13">
        <v>-1.7602384537189097E-2</v>
      </c>
      <c r="AT46" s="13">
        <v>-0.2853867152404671</v>
      </c>
      <c r="AU46" s="13">
        <v>-0.44447217772378356</v>
      </c>
      <c r="AV46" s="13">
        <v>-0.32301018434577311</v>
      </c>
      <c r="AW46" s="13">
        <v>-1.877192751110679E-2</v>
      </c>
      <c r="AX46" s="14">
        <v>2448.8681635260377</v>
      </c>
      <c r="AY46" s="14">
        <v>3150.1459550846125</v>
      </c>
      <c r="AZ46" s="14">
        <v>2584.9631439274081</v>
      </c>
      <c r="BA46" s="14">
        <v>1783.4729471625419</v>
      </c>
      <c r="BB46" s="10">
        <v>11318</v>
      </c>
    </row>
    <row r="47" spans="1:54" ht="15.5" thickTop="1" thickBot="1">
      <c r="A47" s="9" t="s">
        <v>208</v>
      </c>
      <c r="B47" s="10" t="s">
        <v>209</v>
      </c>
      <c r="C47" s="10" t="s">
        <v>210</v>
      </c>
      <c r="D47" s="10" t="s">
        <v>74</v>
      </c>
      <c r="E47" s="11">
        <v>0.29419499999999998</v>
      </c>
      <c r="F47" s="12">
        <v>3.2321688803839566E-2</v>
      </c>
      <c r="G47" s="13">
        <v>-0.45035057441809534</v>
      </c>
      <c r="H47" s="13">
        <v>-0.35921900517697813</v>
      </c>
      <c r="I47" s="13">
        <v>-0.52898023552546536</v>
      </c>
      <c r="J47" s="12">
        <v>0.36719571481484437</v>
      </c>
      <c r="K47" s="11">
        <v>2.4</v>
      </c>
      <c r="L47" s="11">
        <v>1.9638929999999999E-2</v>
      </c>
      <c r="M47" s="11">
        <v>75492928.22915554</v>
      </c>
      <c r="N47" s="11">
        <v>366871513.41698486</v>
      </c>
      <c r="O47" s="11">
        <v>404375115.63371998</v>
      </c>
      <c r="P47" s="12">
        <v>0.20804105015367416</v>
      </c>
      <c r="Q47" s="11">
        <v>152666979.32321346</v>
      </c>
      <c r="R47" s="13">
        <v>-5.3951004620329646E-2</v>
      </c>
      <c r="S47" s="13">
        <v>-0.19835854285338694</v>
      </c>
      <c r="T47" s="13">
        <v>-0.28336468835988393</v>
      </c>
      <c r="U47" s="13">
        <v>-0.2156935527551429</v>
      </c>
      <c r="V47" s="12">
        <v>9.3419881247240433E-2</v>
      </c>
      <c r="W47" s="11">
        <v>190442969.18802196</v>
      </c>
      <c r="X47" s="11">
        <v>213033012.52880576</v>
      </c>
      <c r="Y47" s="11">
        <v>194652204.96338913</v>
      </c>
      <c r="Z47" s="11">
        <v>139623379.76612383</v>
      </c>
      <c r="AA47" s="11">
        <v>5077469764.7621775</v>
      </c>
      <c r="AB47" s="11">
        <v>290848.5865092997</v>
      </c>
      <c r="AC47" s="13">
        <v>-5.1501942377909726E-2</v>
      </c>
      <c r="AD47" s="11">
        <v>1078092.8952577226</v>
      </c>
      <c r="AE47" s="12">
        <v>0.60204250281855409</v>
      </c>
      <c r="AF47" s="11">
        <v>2433532.7986725969</v>
      </c>
      <c r="AG47" s="12">
        <v>5.4713348483310886E-2</v>
      </c>
      <c r="AH47" s="11">
        <v>3518366.3368592234</v>
      </c>
      <c r="AI47" s="12">
        <v>86.393327350660314</v>
      </c>
      <c r="AJ47" s="11">
        <v>147441.71613308173</v>
      </c>
      <c r="AK47" s="13">
        <v>-4.5268955670170641E-2</v>
      </c>
      <c r="AL47" s="11">
        <v>563523.74105610827</v>
      </c>
      <c r="AM47" s="12">
        <v>0.63871028938675467</v>
      </c>
      <c r="AN47" s="11">
        <v>1260445.8468422471</v>
      </c>
      <c r="AO47" s="12">
        <v>8.2080958097690893E-2</v>
      </c>
      <c r="AP47" s="11">
        <v>1859854.528527183</v>
      </c>
      <c r="AQ47" s="12">
        <v>75.134773092709224</v>
      </c>
      <c r="AR47" s="14">
        <v>31.856427265414574</v>
      </c>
      <c r="AS47" s="13">
        <v>-3.1248905546189532E-2</v>
      </c>
      <c r="AT47" s="13">
        <v>-0.25745535236690897</v>
      </c>
      <c r="AU47" s="13">
        <v>-0.53132429686036653</v>
      </c>
      <c r="AV47" s="13">
        <v>-0.65277614484620849</v>
      </c>
      <c r="AW47" s="13">
        <v>-0.94468673036798834</v>
      </c>
      <c r="AX47" s="14">
        <v>42.90169940212887</v>
      </c>
      <c r="AY47" s="14">
        <v>67.971151591623098</v>
      </c>
      <c r="AZ47" s="14">
        <v>91.746079056995683</v>
      </c>
      <c r="BA47" s="14">
        <v>575.92739458992628</v>
      </c>
      <c r="BB47" s="10">
        <v>77507</v>
      </c>
    </row>
    <row r="48" spans="1:54" ht="15.5" thickTop="1" thickBot="1">
      <c r="A48" s="9" t="s">
        <v>211</v>
      </c>
      <c r="B48" s="10" t="s">
        <v>212</v>
      </c>
      <c r="C48" s="10" t="s">
        <v>213</v>
      </c>
      <c r="D48" s="10" t="s">
        <v>78</v>
      </c>
      <c r="E48" s="11">
        <v>3414.65</v>
      </c>
      <c r="F48" s="12">
        <v>0.42885163331155296</v>
      </c>
      <c r="G48" s="13">
        <v>-0.22330499052577601</v>
      </c>
      <c r="H48" s="13">
        <v>-0.15231479686926763</v>
      </c>
      <c r="I48" s="12">
        <v>0.48669808208614884</v>
      </c>
      <c r="J48" s="12">
        <v>4.868868754217857</v>
      </c>
      <c r="K48" s="11">
        <v>6292.31</v>
      </c>
      <c r="L48" s="11">
        <v>168.36</v>
      </c>
      <c r="M48" s="11">
        <v>1042350721.0185976</v>
      </c>
      <c r="N48" s="11">
        <v>3060127666.4128342</v>
      </c>
      <c r="O48" s="11">
        <v>3433693503.0500002</v>
      </c>
      <c r="P48" s="12">
        <v>0.13166548275401119</v>
      </c>
      <c r="Q48" s="11">
        <v>8613570794.2515507</v>
      </c>
      <c r="R48" s="13">
        <v>-5.1126504602558409E-2</v>
      </c>
      <c r="S48" s="13">
        <v>-0.21224274867720261</v>
      </c>
      <c r="T48" s="13">
        <v>-0.2628756378487076</v>
      </c>
      <c r="U48" s="13">
        <v>-1.6901389998767002E-2</v>
      </c>
      <c r="V48" s="12">
        <v>0.3445572310096281</v>
      </c>
      <c r="W48" s="11">
        <v>10934295786.916201</v>
      </c>
      <c r="X48" s="11">
        <v>11685369846.022865</v>
      </c>
      <c r="Y48" s="11">
        <v>8761654941.4516487</v>
      </c>
      <c r="Z48" s="11">
        <v>6406250768.3541441</v>
      </c>
      <c r="AA48" s="11">
        <v>3494152314.5931487</v>
      </c>
      <c r="AB48" s="11">
        <v>3878000.3367940327</v>
      </c>
      <c r="AC48" s="12">
        <v>5.4424975137785436E-2</v>
      </c>
      <c r="AD48" s="11">
        <v>13957074.466641419</v>
      </c>
      <c r="AE48" s="12">
        <v>0.38948016278081998</v>
      </c>
      <c r="AF48" s="11">
        <v>31235488.309533332</v>
      </c>
      <c r="AG48" s="12">
        <v>2.0470842388448265</v>
      </c>
      <c r="AH48" s="11">
        <v>39864203.882857896</v>
      </c>
      <c r="AI48" s="12">
        <v>4.2524286074918729</v>
      </c>
      <c r="AJ48" s="11">
        <v>3877821.1925390884</v>
      </c>
      <c r="AK48" s="12">
        <v>5.4428222426784911E-2</v>
      </c>
      <c r="AL48" s="11">
        <v>13956330.061060736</v>
      </c>
      <c r="AM48" s="12">
        <v>0.38948047047065493</v>
      </c>
      <c r="AN48" s="11">
        <v>31234127.13680974</v>
      </c>
      <c r="AO48" s="12">
        <v>2.0469217215122986</v>
      </c>
      <c r="AP48" s="11">
        <v>39862842.710134283</v>
      </c>
      <c r="AQ48" s="12">
        <v>4.2521484673251857</v>
      </c>
      <c r="AR48" s="14">
        <v>20.894691360267295</v>
      </c>
      <c r="AS48" s="12">
        <v>0.1339777142051739</v>
      </c>
      <c r="AT48" s="13">
        <v>-0.11824530800545441</v>
      </c>
      <c r="AU48" s="13">
        <v>-0.364168659152317</v>
      </c>
      <c r="AV48" s="13">
        <v>-0.28533328490305265</v>
      </c>
      <c r="AW48" s="13">
        <v>-0.40295509847786659</v>
      </c>
      <c r="AX48" s="14">
        <v>23.69671695537351</v>
      </c>
      <c r="AY48" s="14">
        <v>32.862002889651102</v>
      </c>
      <c r="AZ48" s="14">
        <v>29.23697286984024</v>
      </c>
      <c r="BA48" s="14">
        <v>34.996850834832387</v>
      </c>
      <c r="BB48" s="10">
        <v>151664</v>
      </c>
    </row>
    <row r="49" spans="1:54" ht="15.5" thickTop="1" thickBot="1">
      <c r="A49" s="9" t="s">
        <v>214</v>
      </c>
      <c r="B49" s="10" t="s">
        <v>132</v>
      </c>
      <c r="C49" s="10" t="s">
        <v>215</v>
      </c>
      <c r="D49" s="10" t="s">
        <v>74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>
        <v>10859326142.269428</v>
      </c>
      <c r="AB49" s="11">
        <v>769809.97132676933</v>
      </c>
      <c r="AC49" s="13">
        <v>-0.10134290377725175</v>
      </c>
      <c r="AD49" s="11">
        <v>8070115.6605221471</v>
      </c>
      <c r="AE49" s="12">
        <v>0.15902027556959175</v>
      </c>
      <c r="AF49" s="11">
        <v>18353588.388604462</v>
      </c>
      <c r="AG49" s="12">
        <v>0.54213236638624451</v>
      </c>
      <c r="AH49" s="11">
        <v>26600879.882083036</v>
      </c>
      <c r="AI49" s="12">
        <v>19.269691285146969</v>
      </c>
      <c r="AJ49" s="11">
        <v>769809.97132676933</v>
      </c>
      <c r="AK49" s="13">
        <v>-0.10134290377725175</v>
      </c>
      <c r="AL49" s="11">
        <v>8070115.6605221471</v>
      </c>
      <c r="AM49" s="12">
        <v>0.15902027556959175</v>
      </c>
      <c r="AN49" s="11">
        <v>18353588.388604462</v>
      </c>
      <c r="AO49" s="12">
        <v>0.54213236638624451</v>
      </c>
      <c r="AP49" s="11">
        <v>26600879.882083036</v>
      </c>
      <c r="AQ49" s="12">
        <v>19.269691285146969</v>
      </c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>
        <v>192958</v>
      </c>
    </row>
    <row r="50" spans="1:54" ht="15.5" thickTop="1" thickBot="1">
      <c r="A50" s="9" t="s">
        <v>216</v>
      </c>
      <c r="B50" s="10" t="s">
        <v>217</v>
      </c>
      <c r="C50" s="10" t="s">
        <v>218</v>
      </c>
      <c r="D50" s="10" t="s">
        <v>219</v>
      </c>
      <c r="E50" s="11">
        <v>4.07</v>
      </c>
      <c r="F50" s="12">
        <v>4.6276811924172302E-2</v>
      </c>
      <c r="G50" s="13">
        <v>-0.45950372649248294</v>
      </c>
      <c r="H50" s="13">
        <v>-0.52692380077555367</v>
      </c>
      <c r="I50" s="13">
        <v>-0.29915020763167655</v>
      </c>
      <c r="J50" s="10"/>
      <c r="K50" s="11">
        <v>12.9</v>
      </c>
      <c r="L50" s="11">
        <v>0.898899</v>
      </c>
      <c r="M50" s="11">
        <v>114196322.99660087</v>
      </c>
      <c r="N50" s="11">
        <v>274704172.95379931</v>
      </c>
      <c r="O50" s="11">
        <v>1508240250</v>
      </c>
      <c r="P50" s="12">
        <v>3.2374605599246202E-2</v>
      </c>
      <c r="Q50" s="11">
        <v>788206342.76303196</v>
      </c>
      <c r="R50" s="13">
        <v>-0.15599178986114515</v>
      </c>
      <c r="S50" s="13">
        <v>-0.27032472232160321</v>
      </c>
      <c r="T50" s="13">
        <v>-0.3238490230229577</v>
      </c>
      <c r="U50" s="13">
        <v>-0.10491143734234454</v>
      </c>
      <c r="V50" s="12">
        <v>0.50054944931336487</v>
      </c>
      <c r="W50" s="11">
        <v>1080215222.9562485</v>
      </c>
      <c r="X50" s="11">
        <v>1165725362.5321529</v>
      </c>
      <c r="Y50" s="11">
        <v>880590341.16437173</v>
      </c>
      <c r="Z50" s="11">
        <v>525278485.90641689</v>
      </c>
      <c r="AA50" s="11">
        <v>19905056022.749329</v>
      </c>
      <c r="AB50" s="11">
        <v>2008502.4313000001</v>
      </c>
      <c r="AC50" s="12">
        <v>0.24296473672393026</v>
      </c>
      <c r="AD50" s="11">
        <v>5071699.2057829993</v>
      </c>
      <c r="AE50" s="12">
        <v>0.56761217246780826</v>
      </c>
      <c r="AF50" s="11">
        <v>11232576.074351501</v>
      </c>
      <c r="AG50" s="12">
        <v>1.6351662999662322</v>
      </c>
      <c r="AH50" s="11">
        <v>13601816.107978497</v>
      </c>
      <c r="AI50" s="10"/>
      <c r="AJ50" s="10"/>
      <c r="AK50" s="10"/>
      <c r="AL50" s="10"/>
      <c r="AM50" s="10"/>
      <c r="AN50" s="10"/>
      <c r="AO50" s="10"/>
      <c r="AP50" s="10"/>
      <c r="AQ50" s="10"/>
      <c r="AR50" s="14">
        <v>25.25723863458327</v>
      </c>
      <c r="AS50" s="13">
        <v>-0.1763847959221585</v>
      </c>
      <c r="AT50" s="13">
        <v>-0.42289415616525339</v>
      </c>
      <c r="AU50" s="13">
        <v>-0.66093205310904124</v>
      </c>
      <c r="AV50" s="13">
        <v>-0.68833677346569322</v>
      </c>
      <c r="AW50" s="13">
        <v>-0.76741056252744344</v>
      </c>
      <c r="AX50" s="14">
        <v>43.765348946658115</v>
      </c>
      <c r="AY50" s="14">
        <v>74.490198398805802</v>
      </c>
      <c r="AZ50" s="14">
        <v>81.040162856053357</v>
      </c>
      <c r="BA50" s="14">
        <v>108.59151176013052</v>
      </c>
      <c r="BB50" s="10">
        <v>43349</v>
      </c>
    </row>
    <row r="51" spans="1:54" ht="15.5" thickTop="1" thickBot="1">
      <c r="A51" s="9" t="s">
        <v>220</v>
      </c>
      <c r="B51" s="10" t="s">
        <v>221</v>
      </c>
      <c r="C51" s="10" t="s">
        <v>92</v>
      </c>
      <c r="D51" s="10" t="s">
        <v>150</v>
      </c>
      <c r="E51" s="11">
        <v>0.89533200000000002</v>
      </c>
      <c r="F51" s="12">
        <v>1.5175011209075899E-2</v>
      </c>
      <c r="G51" s="13">
        <v>-0.48134256679191911</v>
      </c>
      <c r="H51" s="13">
        <v>-0.60754382318199229</v>
      </c>
      <c r="I51" s="13">
        <v>-0.6439842389524022</v>
      </c>
      <c r="J51" s="13">
        <v>-0.38232639168348825</v>
      </c>
      <c r="K51" s="11">
        <v>11.03</v>
      </c>
      <c r="L51" s="11">
        <v>0.76513600000000004</v>
      </c>
      <c r="M51" s="11">
        <v>8812988.4562696889</v>
      </c>
      <c r="N51" s="11">
        <v>25286462.044333208</v>
      </c>
      <c r="O51" s="11">
        <v>89533200</v>
      </c>
      <c r="P51" s="12">
        <v>8.1133369176133341E-2</v>
      </c>
      <c r="Q51" s="11">
        <v>61843792.148285188</v>
      </c>
      <c r="R51" s="13">
        <v>-1.3056815628808338E-2</v>
      </c>
      <c r="S51" s="13">
        <v>-5.5144420936027561E-2</v>
      </c>
      <c r="T51" s="13">
        <v>-0.14803159308176306</v>
      </c>
      <c r="U51" s="13">
        <v>-1.1762121788427726E-2</v>
      </c>
      <c r="V51" s="12">
        <v>0.28810535770014023</v>
      </c>
      <c r="W51" s="11">
        <v>65453169.265879929</v>
      </c>
      <c r="X51" s="11">
        <v>72589302.192540467</v>
      </c>
      <c r="Y51" s="11">
        <v>62579864.131705567</v>
      </c>
      <c r="Z51" s="11">
        <v>48011439.26511164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>
        <v>18300</v>
      </c>
    </row>
    <row r="52" spans="1:54" ht="15.5" thickTop="1" thickBot="1">
      <c r="A52" s="9" t="s">
        <v>222</v>
      </c>
      <c r="B52" s="10" t="s">
        <v>223</v>
      </c>
      <c r="C52" s="10" t="s">
        <v>224</v>
      </c>
      <c r="D52" s="10" t="s">
        <v>163</v>
      </c>
      <c r="E52" s="11">
        <v>86.71</v>
      </c>
      <c r="F52" s="12">
        <v>8.3163933973587151E-2</v>
      </c>
      <c r="G52" s="13">
        <v>-0.36464473913882434</v>
      </c>
      <c r="H52" s="13">
        <v>-4.2372438388432965E-2</v>
      </c>
      <c r="I52" s="12">
        <v>0.27053143583838346</v>
      </c>
      <c r="J52" s="12">
        <v>2.3034738133357879</v>
      </c>
      <c r="K52" s="11">
        <v>165.38</v>
      </c>
      <c r="L52" s="11">
        <v>6.96</v>
      </c>
      <c r="M52" s="11">
        <v>242247.36047583516</v>
      </c>
      <c r="N52" s="11">
        <v>599513688.02863324</v>
      </c>
      <c r="O52" s="11">
        <v>599512853.28999996</v>
      </c>
      <c r="P52" s="12">
        <v>5.2575441919616271E-6</v>
      </c>
      <c r="Q52" s="11">
        <v>382828091.78975976</v>
      </c>
      <c r="R52" s="13">
        <v>-4.7168262023644325E-2</v>
      </c>
      <c r="S52" s="13">
        <v>-0.21023045395493967</v>
      </c>
      <c r="T52" s="13">
        <v>-0.2493589173996944</v>
      </c>
      <c r="U52" s="12">
        <v>2.0646310692585823E-2</v>
      </c>
      <c r="V52" s="12">
        <v>0.39307742175555593</v>
      </c>
      <c r="W52" s="11">
        <v>484733924.86055356</v>
      </c>
      <c r="X52" s="11">
        <v>510001518.25370383</v>
      </c>
      <c r="Y52" s="11">
        <v>375083991.1722033</v>
      </c>
      <c r="Z52" s="11">
        <v>274807477.18050003</v>
      </c>
      <c r="AA52" s="11">
        <v>3195480047.3670783</v>
      </c>
      <c r="AB52" s="10"/>
      <c r="AC52" s="13">
        <v>-9.1229677859128833E-2</v>
      </c>
      <c r="AD52" s="11">
        <v>1163287.0717222656</v>
      </c>
      <c r="AE52" s="12">
        <v>0.3476658625304978</v>
      </c>
      <c r="AF52" s="11">
        <v>2727785.7795202504</v>
      </c>
      <c r="AG52" s="13">
        <v>-0.71660448484348982</v>
      </c>
      <c r="AH52" s="11">
        <v>7212551.1083199084</v>
      </c>
      <c r="AI52" s="12">
        <v>16.79197987019101</v>
      </c>
      <c r="AJ52" s="10"/>
      <c r="AK52" s="10"/>
      <c r="AL52" s="10"/>
      <c r="AM52" s="10"/>
      <c r="AN52" s="10"/>
      <c r="AO52" s="10"/>
      <c r="AP52" s="10"/>
      <c r="AQ52" s="10"/>
      <c r="AR52" s="14">
        <v>43.7703910265828</v>
      </c>
      <c r="AS52" s="13">
        <v>-7.8616200746297382E-2</v>
      </c>
      <c r="AT52" s="13">
        <v>-0.19786010751433603</v>
      </c>
      <c r="AU52" s="13">
        <v>-0.36954861946825102</v>
      </c>
      <c r="AV52" s="13">
        <v>-0.12636982258837803</v>
      </c>
      <c r="AW52" s="13">
        <v>-0.6130693860917481</v>
      </c>
      <c r="AX52" s="14">
        <v>54.567029313237995</v>
      </c>
      <c r="AY52" s="14">
        <v>69.427068253328315</v>
      </c>
      <c r="AZ52" s="14">
        <v>50.101738880249123</v>
      </c>
      <c r="BA52" s="14">
        <v>113.12206750578163</v>
      </c>
      <c r="BB52" s="10">
        <v>28217</v>
      </c>
    </row>
    <row r="53" spans="1:54" ht="15.5" thickTop="1" thickBot="1">
      <c r="A53" s="9" t="s">
        <v>225</v>
      </c>
      <c r="B53" s="10" t="s">
        <v>132</v>
      </c>
      <c r="C53" s="10" t="s">
        <v>226</v>
      </c>
      <c r="D53" s="10" t="s">
        <v>74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>
        <v>16561604.054843774</v>
      </c>
      <c r="R53" s="12">
        <v>7.8659619017815707E-3</v>
      </c>
      <c r="S53" s="13">
        <v>-7.1880765979353112E-2</v>
      </c>
      <c r="T53" s="13">
        <v>-0.1277587367062657</v>
      </c>
      <c r="U53" s="13">
        <v>-9.5800391335786439E-2</v>
      </c>
      <c r="V53" s="13">
        <v>-9.5800391335786439E-2</v>
      </c>
      <c r="W53" s="11">
        <v>17844263.374543261</v>
      </c>
      <c r="X53" s="11">
        <v>18987411.79969437</v>
      </c>
      <c r="Y53" s="11">
        <v>18316314.114878304</v>
      </c>
      <c r="Z53" s="11">
        <v>18316314.114878304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>
        <v>4033</v>
      </c>
    </row>
    <row r="54" spans="1:54" ht="15.5" thickTop="1" thickBot="1">
      <c r="A54" s="9" t="s">
        <v>227</v>
      </c>
      <c r="B54" s="10" t="s">
        <v>228</v>
      </c>
      <c r="C54" s="10" t="s">
        <v>229</v>
      </c>
      <c r="D54" s="10" t="s">
        <v>74</v>
      </c>
      <c r="E54" s="11">
        <v>14.63</v>
      </c>
      <c r="F54" s="12">
        <v>0.18830061364277412</v>
      </c>
      <c r="G54" s="13">
        <v>-0.49772073904245673</v>
      </c>
      <c r="H54" s="13">
        <v>-0.45813787753964885</v>
      </c>
      <c r="I54" s="13">
        <v>-2.7263010685794731E-2</v>
      </c>
      <c r="J54" s="12">
        <v>44.293642564606628</v>
      </c>
      <c r="K54" s="10"/>
      <c r="L54" s="10"/>
      <c r="M54" s="11">
        <v>809829754.28247929</v>
      </c>
      <c r="N54" s="11">
        <v>2507476740.1193819</v>
      </c>
      <c r="O54" s="10"/>
      <c r="P54" s="12">
        <v>0.40788135493802957</v>
      </c>
      <c r="Q54" s="11">
        <v>6637945009.3885155</v>
      </c>
      <c r="R54" s="13">
        <v>-0.24249222040198271</v>
      </c>
      <c r="S54" s="13">
        <v>-0.29585174358633703</v>
      </c>
      <c r="T54" s="13">
        <v>-0.28694401705538231</v>
      </c>
      <c r="U54" s="12">
        <v>9.1297811657717887E-3</v>
      </c>
      <c r="V54" s="12">
        <v>9.6720539774051595E-2</v>
      </c>
      <c r="W54" s="11">
        <v>9426913933.1489735</v>
      </c>
      <c r="X54" s="11">
        <v>9309149867.8359413</v>
      </c>
      <c r="Y54" s="11">
        <v>6577890310.3228168</v>
      </c>
      <c r="Z54" s="11">
        <v>6052540067.0950117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>
        <v>772981</v>
      </c>
    </row>
    <row r="55" spans="1:54" ht="15.5" thickTop="1" thickBot="1">
      <c r="A55" s="9" t="s">
        <v>230</v>
      </c>
      <c r="B55" s="10" t="s">
        <v>231</v>
      </c>
      <c r="C55" s="10" t="s">
        <v>88</v>
      </c>
      <c r="D55" s="10" t="s">
        <v>74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2">
        <v>1.9609203212764686E-3</v>
      </c>
      <c r="Q55" s="11">
        <v>353968382.08599597</v>
      </c>
      <c r="R55" s="12">
        <v>1.9606992622745123E-2</v>
      </c>
      <c r="S55" s="12">
        <v>5.4152942027013262E-2</v>
      </c>
      <c r="T55" s="12">
        <v>0.20123885253729545</v>
      </c>
      <c r="U55" s="12">
        <v>0.35293318484815717</v>
      </c>
      <c r="V55" s="12">
        <v>0.35293318484815717</v>
      </c>
      <c r="W55" s="11">
        <v>335784655.12353075</v>
      </c>
      <c r="X55" s="11">
        <v>294669441.75035012</v>
      </c>
      <c r="Y55" s="11">
        <v>261630349.56210542</v>
      </c>
      <c r="Z55" s="11">
        <v>261630349.56210542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>
        <v>18679</v>
      </c>
    </row>
    <row r="56" spans="1:54" ht="15.5" thickTop="1" thickBot="1">
      <c r="A56" s="9" t="s">
        <v>232</v>
      </c>
      <c r="B56" s="10" t="s">
        <v>233</v>
      </c>
      <c r="C56" s="10" t="s">
        <v>234</v>
      </c>
      <c r="D56" s="10" t="s">
        <v>74</v>
      </c>
      <c r="E56" s="11">
        <v>9.8699999999999992</v>
      </c>
      <c r="F56" s="12">
        <v>0.1384733196997725</v>
      </c>
      <c r="G56" s="12">
        <v>5.6959100646908789E-2</v>
      </c>
      <c r="H56" s="12">
        <v>0.51150248495638939</v>
      </c>
      <c r="I56" s="12">
        <v>0.57264225852028749</v>
      </c>
      <c r="J56" s="12">
        <v>8.0300392484767737</v>
      </c>
      <c r="K56" s="11">
        <v>16.14</v>
      </c>
      <c r="L56" s="11">
        <v>0.66954400000000003</v>
      </c>
      <c r="M56" s="11">
        <v>45768968.34218432</v>
      </c>
      <c r="N56" s="11">
        <v>208941254.13318771</v>
      </c>
      <c r="O56" s="11">
        <v>1480500000</v>
      </c>
      <c r="P56" s="12">
        <v>7.7141899386361262E-2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>
        <v>81718296060.84761</v>
      </c>
      <c r="AB56" s="11">
        <v>3102444.2076164181</v>
      </c>
      <c r="AC56" s="12">
        <v>0.34254212200916667</v>
      </c>
      <c r="AD56" s="11">
        <v>6935655.7704238202</v>
      </c>
      <c r="AE56" s="12">
        <v>1.7613580490101381</v>
      </c>
      <c r="AF56" s="11">
        <v>10920696.008290661</v>
      </c>
      <c r="AG56" s="12">
        <v>4.2540720571082478</v>
      </c>
      <c r="AH56" s="11">
        <v>12950124.412873907</v>
      </c>
      <c r="AI56" s="10"/>
      <c r="AJ56" s="11">
        <v>3102444.2076164181</v>
      </c>
      <c r="AK56" s="12">
        <v>0.34254212200916667</v>
      </c>
      <c r="AL56" s="11">
        <v>6935655.7704238202</v>
      </c>
      <c r="AM56" s="12">
        <v>1.7613580490101381</v>
      </c>
      <c r="AN56" s="11">
        <v>10920696.008290661</v>
      </c>
      <c r="AO56" s="12">
        <v>4.2540720571082478</v>
      </c>
      <c r="AP56" s="11">
        <v>12950124.412873907</v>
      </c>
      <c r="AQ56" s="10"/>
      <c r="AR56" s="14">
        <v>18.129662147682865</v>
      </c>
      <c r="AS56" s="13">
        <v>-5.3856677252200558E-2</v>
      </c>
      <c r="AT56" s="13">
        <v>-0.18216301386774358</v>
      </c>
      <c r="AU56" s="13">
        <v>-0.35081157992464707</v>
      </c>
      <c r="AV56" s="13">
        <v>-0.6033894166201621</v>
      </c>
      <c r="AW56" s="13">
        <v>-0.75925075326885061</v>
      </c>
      <c r="AX56" s="14">
        <v>22.167818838106484</v>
      </c>
      <c r="AY56" s="14">
        <v>27.926656710202117</v>
      </c>
      <c r="AZ56" s="14">
        <v>45.711493609639518</v>
      </c>
      <c r="BA56" s="14">
        <v>75.305166657192927</v>
      </c>
      <c r="BB56" s="10">
        <v>19477</v>
      </c>
    </row>
    <row r="57" spans="1:54" ht="15.5" thickTop="1" thickBot="1">
      <c r="A57" s="9" t="s">
        <v>235</v>
      </c>
      <c r="B57" s="10" t="s">
        <v>236</v>
      </c>
      <c r="C57" s="10" t="s">
        <v>88</v>
      </c>
      <c r="D57" s="10" t="s">
        <v>89</v>
      </c>
      <c r="E57" s="11">
        <v>0.71842799999999996</v>
      </c>
      <c r="F57" s="12">
        <v>0.14261274710679639</v>
      </c>
      <c r="G57" s="13">
        <v>-0.35904607116208676</v>
      </c>
      <c r="H57" s="13">
        <v>-0.51396693645230729</v>
      </c>
      <c r="I57" s="13">
        <v>-0.44502123491514545</v>
      </c>
      <c r="J57" s="13">
        <v>-0.43724811789482487</v>
      </c>
      <c r="K57" s="11">
        <v>6.27</v>
      </c>
      <c r="L57" s="11">
        <v>0.58321400000000001</v>
      </c>
      <c r="M57" s="11">
        <v>539490.47849897819</v>
      </c>
      <c r="N57" s="11">
        <v>10952465.661758054</v>
      </c>
      <c r="O57" s="11">
        <v>71842800</v>
      </c>
      <c r="P57" s="12">
        <v>8.0555497139256846E-3</v>
      </c>
      <c r="Q57" s="11">
        <v>14781978.641226184</v>
      </c>
      <c r="R57" s="13">
        <v>-8.1285468572196207E-2</v>
      </c>
      <c r="S57" s="13">
        <v>-0.24355835462851538</v>
      </c>
      <c r="T57" s="13">
        <v>-0.13294323034751598</v>
      </c>
      <c r="U57" s="13">
        <v>-0.16131457928431336</v>
      </c>
      <c r="V57" s="13">
        <v>-2.2831478033951136E-3</v>
      </c>
      <c r="W57" s="11">
        <v>19541465.93021968</v>
      </c>
      <c r="X57" s="11">
        <v>17048455.370633684</v>
      </c>
      <c r="Y57" s="11">
        <v>17625176.587202482</v>
      </c>
      <c r="Z57" s="11">
        <v>14815805.31458571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>
        <v>12619</v>
      </c>
    </row>
    <row r="58" spans="1:54" ht="15.5" thickTop="1" thickBot="1">
      <c r="A58" s="9" t="s">
        <v>14</v>
      </c>
      <c r="B58" s="10" t="s">
        <v>237</v>
      </c>
      <c r="C58" s="10" t="s">
        <v>238</v>
      </c>
      <c r="D58" s="10" t="s">
        <v>105</v>
      </c>
      <c r="E58" s="11">
        <v>18.89</v>
      </c>
      <c r="F58" s="13">
        <v>-0.1129055663953131</v>
      </c>
      <c r="G58" s="13">
        <v>-0.555483472444255</v>
      </c>
      <c r="H58" s="13">
        <v>-0.41657391277074673</v>
      </c>
      <c r="I58" s="13">
        <v>-0.50049985470246794</v>
      </c>
      <c r="J58" s="12">
        <v>2.306239489553044</v>
      </c>
      <c r="K58" s="11">
        <v>49.35</v>
      </c>
      <c r="L58" s="11">
        <v>2.7</v>
      </c>
      <c r="M58" s="11">
        <v>4586358989.8513994</v>
      </c>
      <c r="N58" s="11">
        <v>18755298394.195129</v>
      </c>
      <c r="O58" s="10"/>
      <c r="P58" s="12">
        <v>0.17086142288582787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>
        <v>172503645634.62054</v>
      </c>
      <c r="AB58" s="11">
        <v>30257.266563691846</v>
      </c>
      <c r="AC58" s="13">
        <v>-6.8875179392397956E-2</v>
      </c>
      <c r="AD58" s="11">
        <v>133801.86779408401</v>
      </c>
      <c r="AE58" s="13">
        <v>-7.3401915863713363E-2</v>
      </c>
      <c r="AF58" s="11">
        <v>397250.30716030259</v>
      </c>
      <c r="AG58" s="12">
        <v>0.70832136957834302</v>
      </c>
      <c r="AH58" s="11">
        <v>502030.08654059831</v>
      </c>
      <c r="AI58" s="12">
        <v>28.972847117120111</v>
      </c>
      <c r="AJ58" s="11">
        <v>24205.813250953481</v>
      </c>
      <c r="AK58" s="13">
        <v>-6.8875179392397956E-2</v>
      </c>
      <c r="AL58" s="11">
        <v>107041.49423526724</v>
      </c>
      <c r="AM58" s="13">
        <v>-7.3401915863713807E-2</v>
      </c>
      <c r="AN58" s="11">
        <v>317800.24572824204</v>
      </c>
      <c r="AO58" s="12">
        <v>0.70832136957834235</v>
      </c>
      <c r="AP58" s="11">
        <v>401624.06923247874</v>
      </c>
      <c r="AQ58" s="12">
        <v>28.972847117120104</v>
      </c>
      <c r="AR58" s="14">
        <v>11905.033765888591</v>
      </c>
      <c r="AS58" s="13">
        <v>-0.30365502891848151</v>
      </c>
      <c r="AT58" s="13">
        <v>-0.45190524534466048</v>
      </c>
      <c r="AU58" s="13">
        <v>-0.44614846125630325</v>
      </c>
      <c r="AV58" s="13">
        <v>-0.51321854747503637</v>
      </c>
      <c r="AW58" s="13">
        <v>-0.73780989716827095</v>
      </c>
      <c r="AX58" s="14">
        <v>21720.758435965836</v>
      </c>
      <c r="AY58" s="14">
        <v>21494.99086504809</v>
      </c>
      <c r="AZ58" s="14">
        <v>24456.629775305712</v>
      </c>
      <c r="BA58" s="14">
        <v>45406.114255689972</v>
      </c>
      <c r="BB58" s="10">
        <v>431400</v>
      </c>
    </row>
    <row r="59" spans="1:54" ht="15.5" thickTop="1" thickBot="1">
      <c r="A59" s="9" t="s">
        <v>239</v>
      </c>
      <c r="B59" s="10" t="s">
        <v>132</v>
      </c>
      <c r="C59" s="10" t="s">
        <v>240</v>
      </c>
      <c r="D59" s="10" t="s">
        <v>241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>
        <v>78066402.839036286</v>
      </c>
      <c r="AB59" s="11">
        <v>43330.374065000011</v>
      </c>
      <c r="AC59" s="12">
        <v>9.2812322278462034E-2</v>
      </c>
      <c r="AD59" s="11">
        <v>133618.67018200003</v>
      </c>
      <c r="AE59" s="13">
        <v>-0.19241669243069615</v>
      </c>
      <c r="AF59" s="11">
        <v>527420.28290799982</v>
      </c>
      <c r="AG59" s="13">
        <v>-0.58087709692667278</v>
      </c>
      <c r="AH59" s="11">
        <v>1873815.6467630011</v>
      </c>
      <c r="AI59" s="13">
        <v>-0.7240603150236028</v>
      </c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>
        <v>8694</v>
      </c>
    </row>
    <row r="60" spans="1:54" ht="15.5" thickTop="1" thickBot="1">
      <c r="A60" s="9" t="s">
        <v>242</v>
      </c>
      <c r="B60" s="10" t="s">
        <v>243</v>
      </c>
      <c r="C60" s="10" t="s">
        <v>244</v>
      </c>
      <c r="D60" s="10" t="s">
        <v>185</v>
      </c>
      <c r="E60" s="11">
        <v>14.89</v>
      </c>
      <c r="F60" s="12">
        <v>0.17654942127461118</v>
      </c>
      <c r="G60" s="13">
        <v>-0.12340820148211773</v>
      </c>
      <c r="H60" s="13">
        <v>-0.14470464226958879</v>
      </c>
      <c r="I60" s="13">
        <v>-0.50295001984447252</v>
      </c>
      <c r="J60" s="10"/>
      <c r="K60" s="11">
        <v>53.98</v>
      </c>
      <c r="L60" s="11">
        <v>8.17</v>
      </c>
      <c r="M60" s="11">
        <v>1798635.0120440163</v>
      </c>
      <c r="N60" s="11">
        <v>27325356.19228765</v>
      </c>
      <c r="O60" s="11">
        <v>148900000</v>
      </c>
      <c r="P60" s="12">
        <v>2.9022150692966611E-2</v>
      </c>
      <c r="Q60" s="11">
        <v>179351841.95087081</v>
      </c>
      <c r="R60" s="13">
        <v>-3.032686293548037E-2</v>
      </c>
      <c r="S60" s="13">
        <v>-0.11931609182188618</v>
      </c>
      <c r="T60" s="13">
        <v>-0.16844814585547896</v>
      </c>
      <c r="U60" s="13">
        <v>-9.6265634958523583E-2</v>
      </c>
      <c r="V60" s="13">
        <v>-9.6265634958523583E-2</v>
      </c>
      <c r="W60" s="11">
        <v>203650640.46860933</v>
      </c>
      <c r="X60" s="11">
        <v>215683292.69782379</v>
      </c>
      <c r="Y60" s="11">
        <v>198456370.46527445</v>
      </c>
      <c r="Z60" s="11">
        <v>198456370.46527445</v>
      </c>
      <c r="AA60" s="11">
        <v>202119833.00855094</v>
      </c>
      <c r="AB60" s="11">
        <v>83390.24557395959</v>
      </c>
      <c r="AC60" s="13">
        <v>-9.3159703961106177E-2</v>
      </c>
      <c r="AD60" s="11">
        <v>321498.28797586763</v>
      </c>
      <c r="AE60" s="13">
        <v>-0.4864341083156275</v>
      </c>
      <c r="AF60" s="11">
        <v>1528282.3116484119</v>
      </c>
      <c r="AG60" s="12">
        <v>3.1656315513257889</v>
      </c>
      <c r="AH60" s="11">
        <v>1593203.2401387645</v>
      </c>
      <c r="AI60" s="12">
        <v>36.534551013144771</v>
      </c>
      <c r="AJ60" s="11">
        <v>41695.122786979795</v>
      </c>
      <c r="AK60" s="13">
        <v>-9.3159703961106177E-2</v>
      </c>
      <c r="AL60" s="11">
        <v>160749.14398793381</v>
      </c>
      <c r="AM60" s="12">
        <v>9.4414458227029652E-2</v>
      </c>
      <c r="AN60" s="11">
        <v>299352.96757910959</v>
      </c>
      <c r="AO60" s="10"/>
      <c r="AP60" s="11">
        <v>299352.96757910959</v>
      </c>
      <c r="AQ60" s="10"/>
      <c r="AR60" s="14">
        <v>39.335516992900054</v>
      </c>
      <c r="AS60" s="13">
        <v>-3.6837846886900949E-2</v>
      </c>
      <c r="AT60" s="13">
        <v>-3.2896697838466604E-2</v>
      </c>
      <c r="AU60" s="12">
        <v>7.5613411113790274E-2</v>
      </c>
      <c r="AV60" s="13">
        <v>-0.21883300697112851</v>
      </c>
      <c r="AW60" s="13">
        <v>-0.546148878840503</v>
      </c>
      <c r="AX60" s="14">
        <v>40.673542221376799</v>
      </c>
      <c r="AY60" s="14">
        <v>36.570311030399296</v>
      </c>
      <c r="AZ60" s="14">
        <v>50.354811895446069</v>
      </c>
      <c r="BA60" s="14">
        <v>86.670529517269529</v>
      </c>
      <c r="BB60" s="10">
        <v>21158</v>
      </c>
    </row>
    <row r="61" spans="1:54" ht="15.5" thickTop="1" thickBot="1">
      <c r="A61" s="9" t="s">
        <v>245</v>
      </c>
      <c r="B61" s="10" t="s">
        <v>246</v>
      </c>
      <c r="C61" s="10" t="s">
        <v>88</v>
      </c>
      <c r="D61" s="10" t="s">
        <v>89</v>
      </c>
      <c r="E61" s="11">
        <v>0.98141100000000003</v>
      </c>
      <c r="F61" s="12">
        <v>3.4753962097517303E-3</v>
      </c>
      <c r="G61" s="13">
        <v>-0.53609498664969168</v>
      </c>
      <c r="H61" s="13">
        <v>-0.58661375482028522</v>
      </c>
      <c r="I61" s="13">
        <v>-0.66150142343041352</v>
      </c>
      <c r="J61" s="13">
        <v>-0.60880818518131163</v>
      </c>
      <c r="K61" s="11">
        <v>17.27</v>
      </c>
      <c r="L61" s="11">
        <v>0.76722699999999999</v>
      </c>
      <c r="M61" s="11">
        <v>6063079.8274734709</v>
      </c>
      <c r="N61" s="11">
        <v>14190338.005201807</v>
      </c>
      <c r="O61" s="11">
        <v>98141100</v>
      </c>
      <c r="P61" s="12">
        <v>5.1917597972206291E-2</v>
      </c>
      <c r="Q61" s="11">
        <v>18375566.352790821</v>
      </c>
      <c r="R61" s="13">
        <v>-8.7700697020052565E-2</v>
      </c>
      <c r="S61" s="13">
        <v>-0.21198242285554003</v>
      </c>
      <c r="T61" s="13">
        <v>-0.28096008168275688</v>
      </c>
      <c r="U61" s="13">
        <v>-0.30233555979569204</v>
      </c>
      <c r="V61" s="13">
        <v>-0.30233555979569204</v>
      </c>
      <c r="W61" s="11">
        <v>23318726.492597256</v>
      </c>
      <c r="X61" s="11">
        <v>25555697.096476711</v>
      </c>
      <c r="Y61" s="11">
        <v>26338688.478102192</v>
      </c>
      <c r="Z61" s="11">
        <v>26338688.478102192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>
        <v>13071</v>
      </c>
    </row>
    <row r="62" spans="1:54" ht="15.5" thickTop="1" thickBot="1">
      <c r="A62" s="9" t="s">
        <v>247</v>
      </c>
      <c r="B62" s="10" t="s">
        <v>248</v>
      </c>
      <c r="C62" s="10" t="s">
        <v>249</v>
      </c>
      <c r="D62" s="10" t="s">
        <v>250</v>
      </c>
      <c r="E62" s="11">
        <v>11.89</v>
      </c>
      <c r="F62" s="12">
        <v>0.39602246732923613</v>
      </c>
      <c r="G62" s="13">
        <v>-0.25601207781759916</v>
      </c>
      <c r="H62" s="13">
        <v>-0.38725786368996284</v>
      </c>
      <c r="I62" s="13">
        <v>-0.27559236299472001</v>
      </c>
      <c r="J62" s="12">
        <v>4.6398092539364377</v>
      </c>
      <c r="K62" s="11">
        <v>46.7</v>
      </c>
      <c r="L62" s="11">
        <v>0.264878</v>
      </c>
      <c r="M62" s="11">
        <v>7708887.0545690497</v>
      </c>
      <c r="N62" s="11">
        <v>46542849.894271351</v>
      </c>
      <c r="O62" s="11">
        <v>297250000</v>
      </c>
      <c r="P62" s="12">
        <v>2.4575518541887557E-2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>
        <v>306038297.94983822</v>
      </c>
      <c r="AB62" s="11">
        <v>290572.60554632195</v>
      </c>
      <c r="AC62" s="13">
        <v>-1.1933983830825889E-2</v>
      </c>
      <c r="AD62" s="11">
        <v>1299614.6899239721</v>
      </c>
      <c r="AE62" s="13">
        <v>-0.31476919065335529</v>
      </c>
      <c r="AF62" s="11">
        <v>4809288.7341738231</v>
      </c>
      <c r="AG62" s="12">
        <v>0.65365942398613153</v>
      </c>
      <c r="AH62" s="11">
        <v>5998985.6126484005</v>
      </c>
      <c r="AI62" s="12">
        <v>4.1686343612245587</v>
      </c>
      <c r="AJ62" s="11">
        <v>290572.60554632195</v>
      </c>
      <c r="AK62" s="13">
        <v>-1.1933983830825889E-2</v>
      </c>
      <c r="AL62" s="11">
        <v>1299614.6899239721</v>
      </c>
      <c r="AM62" s="13">
        <v>-0.31476919065335529</v>
      </c>
      <c r="AN62" s="11">
        <v>4809288.7341738231</v>
      </c>
      <c r="AO62" s="12">
        <v>0.65365942398613153</v>
      </c>
      <c r="AP62" s="11">
        <v>5998985.6126484005</v>
      </c>
      <c r="AQ62" s="12">
        <v>4.1686343612245587</v>
      </c>
      <c r="AR62" s="14">
        <v>19.425673322018078</v>
      </c>
      <c r="AS62" s="12">
        <v>0.17704637158418146</v>
      </c>
      <c r="AT62" s="13">
        <v>-0.15310179158925163</v>
      </c>
      <c r="AU62" s="13">
        <v>-0.16805612969803396</v>
      </c>
      <c r="AV62" s="13">
        <v>-0.41669825776490454</v>
      </c>
      <c r="AW62" s="13">
        <v>-0.4065292952482451</v>
      </c>
      <c r="AX62" s="14">
        <v>22.937435844233789</v>
      </c>
      <c r="AY62" s="14">
        <v>23.349740307560953</v>
      </c>
      <c r="AZ62" s="14">
        <v>33.302957826909257</v>
      </c>
      <c r="BA62" s="14">
        <v>32.732320511327877</v>
      </c>
      <c r="BB62" s="10">
        <v>156669</v>
      </c>
    </row>
    <row r="63" spans="1:54" ht="15.5" thickTop="1" thickBot="1">
      <c r="A63" s="9" t="s">
        <v>251</v>
      </c>
      <c r="B63" s="10" t="s">
        <v>252</v>
      </c>
      <c r="C63" s="10" t="s">
        <v>198</v>
      </c>
      <c r="D63" s="10" t="s">
        <v>89</v>
      </c>
      <c r="E63" s="11">
        <v>7.3</v>
      </c>
      <c r="F63" s="12">
        <v>0.61524408015592413</v>
      </c>
      <c r="G63" s="13">
        <v>-0.30757219703489147</v>
      </c>
      <c r="H63" s="13">
        <v>-0.58524763756838416</v>
      </c>
      <c r="I63" s="13">
        <v>-0.33641999040264237</v>
      </c>
      <c r="J63" s="12">
        <v>9.3336824088453625</v>
      </c>
      <c r="K63" s="11">
        <v>27.37</v>
      </c>
      <c r="L63" s="11">
        <v>0.21338499999999999</v>
      </c>
      <c r="M63" s="11">
        <v>4489928.7419881066</v>
      </c>
      <c r="N63" s="11">
        <v>63703509.224738792</v>
      </c>
      <c r="O63" s="11">
        <v>73000000</v>
      </c>
      <c r="P63" s="12">
        <v>7.147184912266151E-2</v>
      </c>
      <c r="Q63" s="11">
        <v>87013703.041967109</v>
      </c>
      <c r="R63" s="15"/>
      <c r="S63" s="15"/>
      <c r="T63" s="12">
        <v>9.8124238419556864E-3</v>
      </c>
      <c r="U63" s="12">
        <v>0.83901177053220177</v>
      </c>
      <c r="V63" s="12">
        <v>1.0665422734962107</v>
      </c>
      <c r="W63" s="11">
        <v>87013703.041967109</v>
      </c>
      <c r="X63" s="11">
        <v>86168184.295963362</v>
      </c>
      <c r="Y63" s="11">
        <v>47315468.251073636</v>
      </c>
      <c r="Z63" s="11">
        <v>42105939.064462438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>
        <v>22803</v>
      </c>
    </row>
    <row r="64" spans="1:54" ht="15.5" thickTop="1" thickBot="1">
      <c r="A64" s="9" t="s">
        <v>253</v>
      </c>
      <c r="B64" s="10" t="s">
        <v>254</v>
      </c>
      <c r="C64" s="10" t="s">
        <v>255</v>
      </c>
      <c r="D64" s="10" t="s">
        <v>256</v>
      </c>
      <c r="E64" s="11">
        <v>270.47000000000003</v>
      </c>
      <c r="F64" s="13">
        <v>-1.7546471282055678E-2</v>
      </c>
      <c r="G64" s="13">
        <v>-0.46557119668357227</v>
      </c>
      <c r="H64" s="13">
        <v>-0.63339837700849688</v>
      </c>
      <c r="I64" s="10"/>
      <c r="J64" s="10"/>
      <c r="K64" s="10"/>
      <c r="L64" s="10"/>
      <c r="M64" s="11">
        <v>279458.03826976242</v>
      </c>
      <c r="N64" s="11">
        <v>15570244.76754887</v>
      </c>
      <c r="O64" s="11">
        <v>270470000</v>
      </c>
      <c r="P64" s="12">
        <v>7.7167752565485159E-4</v>
      </c>
      <c r="Q64" s="11">
        <v>106568465.02725747</v>
      </c>
      <c r="R64" s="13">
        <v>-6.6030238026288601E-2</v>
      </c>
      <c r="S64" s="13">
        <v>-0.30396428422331012</v>
      </c>
      <c r="T64" s="13">
        <v>-0.57744643105205251</v>
      </c>
      <c r="U64" s="13">
        <v>-0.60694625150683112</v>
      </c>
      <c r="V64" s="13">
        <v>-0.60694625150683112</v>
      </c>
      <c r="W64" s="11">
        <v>153107753.82889688</v>
      </c>
      <c r="X64" s="11">
        <v>252201076.64120847</v>
      </c>
      <c r="Y64" s="11">
        <v>271129496.7566238</v>
      </c>
      <c r="Z64" s="11">
        <v>271129496.7566238</v>
      </c>
      <c r="AA64" s="11">
        <v>77520535.92726098</v>
      </c>
      <c r="AB64" s="11">
        <v>23950.102754154294</v>
      </c>
      <c r="AC64" s="13">
        <v>-0.11180429906182088</v>
      </c>
      <c r="AD64" s="11">
        <v>131678.73238145324</v>
      </c>
      <c r="AE64" s="13">
        <v>-0.28448454436013626</v>
      </c>
      <c r="AF64" s="11">
        <v>508193.01668973645</v>
      </c>
      <c r="AG64" s="12">
        <v>2.5071238406267033</v>
      </c>
      <c r="AH64" s="11">
        <v>514706.04671982682</v>
      </c>
      <c r="AI64" s="10"/>
      <c r="AJ64" s="11">
        <v>23950.102754154294</v>
      </c>
      <c r="AK64" s="13">
        <v>-0.11180429906182088</v>
      </c>
      <c r="AL64" s="11">
        <v>131678.73238145324</v>
      </c>
      <c r="AM64" s="13">
        <v>-0.28448454436013626</v>
      </c>
      <c r="AN64" s="11">
        <v>508193.01668973645</v>
      </c>
      <c r="AO64" s="12">
        <v>2.5071238406267033</v>
      </c>
      <c r="AP64" s="11">
        <v>514706.04671982682</v>
      </c>
      <c r="AQ64" s="10"/>
      <c r="AR64" s="14">
        <v>174.45053002932568</v>
      </c>
      <c r="AS64" s="12">
        <v>9.7200816033924387E-3</v>
      </c>
      <c r="AT64" s="13">
        <v>-0.22828733132709711</v>
      </c>
      <c r="AU64" s="13">
        <v>-0.40673423222335514</v>
      </c>
      <c r="AV64" s="13">
        <v>-0.45528065354798308</v>
      </c>
      <c r="AW64" s="13">
        <v>-0.45528065354798308</v>
      </c>
      <c r="AX64" s="14">
        <v>226.05632525033491</v>
      </c>
      <c r="AY64" s="14">
        <v>294.05123218739891</v>
      </c>
      <c r="AZ64" s="14">
        <v>320.25763572671752</v>
      </c>
      <c r="BA64" s="14">
        <v>320.25763572671752</v>
      </c>
      <c r="BB64" s="10">
        <v>10492</v>
      </c>
    </row>
    <row r="65" spans="1:54" ht="15.5" thickTop="1" thickBot="1">
      <c r="A65" s="9" t="s">
        <v>257</v>
      </c>
      <c r="B65" s="10" t="s">
        <v>258</v>
      </c>
      <c r="C65" s="10" t="s">
        <v>259</v>
      </c>
      <c r="D65" s="10" t="s">
        <v>189</v>
      </c>
      <c r="E65" s="11">
        <v>0.42002200000000001</v>
      </c>
      <c r="F65" s="12">
        <v>0.16310011833295937</v>
      </c>
      <c r="G65" s="13">
        <v>-0.43902787348197925</v>
      </c>
      <c r="H65" s="13">
        <v>-0.47041861624163817</v>
      </c>
      <c r="I65" s="13">
        <v>-0.65939714755063761</v>
      </c>
      <c r="J65" s="12">
        <v>0.1366042853242555</v>
      </c>
      <c r="K65" s="11">
        <v>1.8</v>
      </c>
      <c r="L65" s="11">
        <v>1.5480000000000001E-2</v>
      </c>
      <c r="M65" s="11">
        <v>102645098.09360947</v>
      </c>
      <c r="N65" s="11">
        <v>362836866.64478147</v>
      </c>
      <c r="O65" s="11">
        <v>420022000</v>
      </c>
      <c r="P65" s="12">
        <v>0.19297635478794556</v>
      </c>
      <c r="Q65" s="11">
        <v>575561813.06722486</v>
      </c>
      <c r="R65" s="13">
        <v>-3.3013520125391604E-2</v>
      </c>
      <c r="S65" s="13">
        <v>-0.13500035004157718</v>
      </c>
      <c r="T65" s="13">
        <v>-0.2695321266794154</v>
      </c>
      <c r="U65" s="13">
        <v>-0.2869413828274533</v>
      </c>
      <c r="V65" s="13">
        <v>-0.1101100596747141</v>
      </c>
      <c r="W65" s="11">
        <v>665389648.53325653</v>
      </c>
      <c r="X65" s="11">
        <v>787935834.12617075</v>
      </c>
      <c r="Y65" s="11">
        <v>807173210.17656219</v>
      </c>
      <c r="Z65" s="11">
        <v>646778648.66843748</v>
      </c>
      <c r="AA65" s="11">
        <v>4560135224.2241945</v>
      </c>
      <c r="AB65" s="11">
        <v>21580.309999999998</v>
      </c>
      <c r="AC65" s="13">
        <v>-0.27663302293633452</v>
      </c>
      <c r="AD65" s="11">
        <v>598687.50999999954</v>
      </c>
      <c r="AE65" s="13">
        <v>-0.53769198933696427</v>
      </c>
      <c r="AF65" s="11">
        <v>2925497.4600000004</v>
      </c>
      <c r="AG65" s="13">
        <v>-0.53717205545977276</v>
      </c>
      <c r="AH65" s="11">
        <v>5790066.2300000032</v>
      </c>
      <c r="AI65" s="12">
        <v>0.74612822185898198</v>
      </c>
      <c r="AJ65" s="10"/>
      <c r="AK65" s="10"/>
      <c r="AL65" s="10"/>
      <c r="AM65" s="10"/>
      <c r="AN65" s="10"/>
      <c r="AO65" s="10"/>
      <c r="AP65" s="10"/>
      <c r="AQ65" s="10"/>
      <c r="AR65" s="14">
        <v>59.585511262566719</v>
      </c>
      <c r="AS65" s="12">
        <v>2.582993607915518E-2</v>
      </c>
      <c r="AT65" s="13">
        <v>-0.11143344267053845</v>
      </c>
      <c r="AU65" s="13">
        <v>-6.7954119166337867E-2</v>
      </c>
      <c r="AV65" s="13">
        <v>-0.16295980442784608</v>
      </c>
      <c r="AW65" s="13">
        <v>-7.5666764906238915E-2</v>
      </c>
      <c r="AX65" s="14">
        <v>67.058016949960091</v>
      </c>
      <c r="AY65" s="14">
        <v>63.929804838867867</v>
      </c>
      <c r="AZ65" s="14">
        <v>71.185961651265018</v>
      </c>
      <c r="BA65" s="14">
        <v>64.463235768561944</v>
      </c>
      <c r="BB65" s="10">
        <v>79347</v>
      </c>
    </row>
    <row r="66" spans="1:54" ht="15.5" thickTop="1" thickBot="1">
      <c r="A66" s="9" t="s">
        <v>260</v>
      </c>
      <c r="B66" s="10" t="s">
        <v>132</v>
      </c>
      <c r="C66" s="10" t="s">
        <v>198</v>
      </c>
      <c r="D66" s="10" t="s">
        <v>74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1">
        <v>53223924.127878144</v>
      </c>
      <c r="R66" s="13">
        <v>-9.6126860308154427E-3</v>
      </c>
      <c r="S66" s="13">
        <v>-0.12359711821208386</v>
      </c>
      <c r="T66" s="13">
        <v>-0.3264028036249802</v>
      </c>
      <c r="U66" s="13">
        <v>-0.32229780988076973</v>
      </c>
      <c r="V66" s="13">
        <v>-0.32229780988076973</v>
      </c>
      <c r="W66" s="11">
        <v>60729973.889745824</v>
      </c>
      <c r="X66" s="11">
        <v>79014468.014867082</v>
      </c>
      <c r="Y66" s="11">
        <v>78535859.70928365</v>
      </c>
      <c r="Z66" s="11">
        <v>78535859.70928365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>
        <v>5219</v>
      </c>
    </row>
    <row r="67" spans="1:54" ht="15.5" thickTop="1" thickBot="1">
      <c r="A67" s="9" t="s">
        <v>261</v>
      </c>
      <c r="B67" s="10" t="s">
        <v>132</v>
      </c>
      <c r="C67" s="10" t="s">
        <v>262</v>
      </c>
      <c r="D67" s="10" t="s">
        <v>89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1">
        <v>212570834.09406164</v>
      </c>
      <c r="R67" s="13">
        <v>-8.2570302913719362E-2</v>
      </c>
      <c r="S67" s="13">
        <v>-0.24141320851880343</v>
      </c>
      <c r="T67" s="13">
        <v>-0.28200932852905058</v>
      </c>
      <c r="U67" s="13">
        <v>-0.20832632485830427</v>
      </c>
      <c r="V67" s="13">
        <v>-0.20832632485830427</v>
      </c>
      <c r="W67" s="11">
        <v>280219529.89584941</v>
      </c>
      <c r="X67" s="11">
        <v>296063504.08225667</v>
      </c>
      <c r="Y67" s="11">
        <v>268508150.22492087</v>
      </c>
      <c r="Z67" s="11">
        <v>268508150.22492087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>
        <v>29600</v>
      </c>
    </row>
    <row r="68" spans="1:54" ht="15.5" thickTop="1" thickBot="1">
      <c r="A68" s="9" t="s">
        <v>263</v>
      </c>
      <c r="B68" s="10" t="s">
        <v>264</v>
      </c>
      <c r="C68" s="10" t="s">
        <v>88</v>
      </c>
      <c r="D68" s="10" t="s">
        <v>265</v>
      </c>
      <c r="E68" s="11">
        <v>1.1399999999999999</v>
      </c>
      <c r="F68" s="13">
        <v>-2.4850373717666688E-2</v>
      </c>
      <c r="G68" s="13">
        <v>-0.44522483282318803</v>
      </c>
      <c r="H68" s="13">
        <v>-0.30906855413419021</v>
      </c>
      <c r="I68" s="10"/>
      <c r="J68" s="10"/>
      <c r="K68" s="10"/>
      <c r="L68" s="10"/>
      <c r="M68" s="11">
        <v>563075.68563350511</v>
      </c>
      <c r="N68" s="11">
        <v>12298784.462141674</v>
      </c>
      <c r="O68" s="11">
        <v>113999999.99999999</v>
      </c>
      <c r="P68" s="12">
        <v>3.5412710047438884E-3</v>
      </c>
      <c r="Q68" s="11">
        <v>2801685.6369999996</v>
      </c>
      <c r="R68" s="13">
        <v>-6.0289503591083871E-2</v>
      </c>
      <c r="S68" s="13">
        <v>-0.12368412750280822</v>
      </c>
      <c r="T68" s="13">
        <v>-0.32684652222766863</v>
      </c>
      <c r="U68" s="13">
        <v>-0.48650123729333417</v>
      </c>
      <c r="V68" s="13">
        <v>-0.48650123729333417</v>
      </c>
      <c r="W68" s="11">
        <v>3197118.4420249993</v>
      </c>
      <c r="X68" s="11">
        <v>4162030.9922064515</v>
      </c>
      <c r="Y68" s="11">
        <v>5456070.8622397436</v>
      </c>
      <c r="Z68" s="11">
        <v>5456070.8622397436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>
        <v>3707</v>
      </c>
    </row>
    <row r="69" spans="1:54" ht="15.5" thickTop="1" thickBot="1">
      <c r="A69" s="9" t="s">
        <v>266</v>
      </c>
      <c r="B69" s="10" t="s">
        <v>267</v>
      </c>
      <c r="C69" s="10" t="s">
        <v>88</v>
      </c>
      <c r="D69" s="10" t="s">
        <v>89</v>
      </c>
      <c r="E69" s="11">
        <v>2.1</v>
      </c>
      <c r="F69" s="12">
        <v>0.20066504308233885</v>
      </c>
      <c r="G69" s="13">
        <v>-0.32287225176725287</v>
      </c>
      <c r="H69" s="13">
        <v>-0.62041921829988644</v>
      </c>
      <c r="I69" s="13">
        <v>-0.76947586496676967</v>
      </c>
      <c r="J69" s="10"/>
      <c r="K69" s="11">
        <v>17.38</v>
      </c>
      <c r="L69" s="11">
        <v>1.44</v>
      </c>
      <c r="M69" s="11">
        <v>802236.04914430156</v>
      </c>
      <c r="N69" s="11">
        <v>21006196.9312266</v>
      </c>
      <c r="O69" s="11">
        <v>210000000</v>
      </c>
      <c r="P69" s="12">
        <v>6.8550469307004892E-4</v>
      </c>
      <c r="Q69" s="11">
        <v>47617147.602315515</v>
      </c>
      <c r="R69" s="13">
        <v>-1.8366546819973295E-2</v>
      </c>
      <c r="S69" s="13">
        <v>-0.13896251053481312</v>
      </c>
      <c r="T69" s="13">
        <v>-0.39317666071852464</v>
      </c>
      <c r="U69" s="13">
        <v>-0.45704058195742803</v>
      </c>
      <c r="V69" s="13">
        <v>-0.45704058195742803</v>
      </c>
      <c r="W69" s="11">
        <v>55302060.810257845</v>
      </c>
      <c r="X69" s="11">
        <v>78469538.859032378</v>
      </c>
      <c r="Y69" s="11">
        <v>87699275.52593255</v>
      </c>
      <c r="Z69" s="11">
        <v>87699275.52593255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>
        <v>9139</v>
      </c>
    </row>
    <row r="70" spans="1:54" ht="15.5" thickTop="1" thickBot="1">
      <c r="A70" s="9" t="s">
        <v>268</v>
      </c>
      <c r="B70" s="10" t="s">
        <v>269</v>
      </c>
      <c r="C70" s="10" t="s">
        <v>270</v>
      </c>
      <c r="D70" s="10" t="s">
        <v>105</v>
      </c>
      <c r="E70" s="11">
        <v>0.42744399999999999</v>
      </c>
      <c r="F70" s="12">
        <v>0.13632928942085124</v>
      </c>
      <c r="G70" s="13">
        <v>-0.40620535623671372</v>
      </c>
      <c r="H70" s="13">
        <v>-5.4602973510886943E-2</v>
      </c>
      <c r="I70" s="13">
        <v>-8.6428888524134106E-2</v>
      </c>
      <c r="J70" s="12">
        <v>1.198627566905504</v>
      </c>
      <c r="K70" s="11">
        <v>0.87556299999999998</v>
      </c>
      <c r="L70" s="11">
        <v>4.7612000000000002E-4</v>
      </c>
      <c r="M70" s="11">
        <v>2758953329.2390904</v>
      </c>
      <c r="N70" s="11">
        <v>9877138891.3531666</v>
      </c>
      <c r="O70" s="10"/>
      <c r="P70" s="12">
        <v>0.21314220627907352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>
        <v>128226660940.09935</v>
      </c>
      <c r="AB70" s="11">
        <v>901.43997124734244</v>
      </c>
      <c r="AC70" s="12">
        <v>0.11845837265785963</v>
      </c>
      <c r="AD70" s="11">
        <v>5147.9463894676956</v>
      </c>
      <c r="AE70" s="12">
        <v>2.6314999925344091</v>
      </c>
      <c r="AF70" s="11">
        <v>8212.8859076679164</v>
      </c>
      <c r="AG70" s="12">
        <v>0.13466693738111002</v>
      </c>
      <c r="AH70" s="11">
        <v>17623.71289884613</v>
      </c>
      <c r="AI70" s="12">
        <v>22.489349793681765</v>
      </c>
      <c r="AJ70" s="10"/>
      <c r="AK70" s="10"/>
      <c r="AL70" s="10"/>
      <c r="AM70" s="10"/>
      <c r="AN70" s="10"/>
      <c r="AO70" s="10"/>
      <c r="AP70" s="10"/>
      <c r="AQ70" s="10"/>
      <c r="AR70" s="14">
        <v>162954.35615236449</v>
      </c>
      <c r="AS70" s="13">
        <v>-0.14204399896754272</v>
      </c>
      <c r="AT70" s="13">
        <v>-0.33715653151371883</v>
      </c>
      <c r="AU70" s="13">
        <v>-0.61523637851468138</v>
      </c>
      <c r="AV70" s="13">
        <v>-0.61797266105607163</v>
      </c>
      <c r="AW70" s="13">
        <v>-0.5803158293002415</v>
      </c>
      <c r="AX70" s="14">
        <v>245841.38473069551</v>
      </c>
      <c r="AY70" s="14">
        <v>423518.09540440748</v>
      </c>
      <c r="AZ70" s="14">
        <v>426551.55676249112</v>
      </c>
      <c r="BA70" s="14">
        <v>388278.53783635277</v>
      </c>
      <c r="BB70" s="10">
        <v>568789</v>
      </c>
    </row>
    <row r="71" spans="1:54" ht="15.5" thickTop="1" thickBot="1">
      <c r="A71" s="9" t="s">
        <v>271</v>
      </c>
      <c r="B71" s="10" t="s">
        <v>272</v>
      </c>
      <c r="C71" s="10" t="s">
        <v>273</v>
      </c>
      <c r="D71" s="10" t="s">
        <v>74</v>
      </c>
      <c r="E71" s="11">
        <v>10.32</v>
      </c>
      <c r="F71" s="12">
        <v>0.15378928212485529</v>
      </c>
      <c r="G71" s="13">
        <v>-0.3716418831908439</v>
      </c>
      <c r="H71" s="13">
        <v>-8.5748724863011438E-2</v>
      </c>
      <c r="I71" s="13">
        <v>-0.33883161643593429</v>
      </c>
      <c r="J71" s="12">
        <v>7.0239718799021489</v>
      </c>
      <c r="K71" s="11">
        <v>23.38</v>
      </c>
      <c r="L71" s="11">
        <v>0.475381</v>
      </c>
      <c r="M71" s="11">
        <v>2038833950.6545584</v>
      </c>
      <c r="N71" s="11">
        <v>1747792016.9355383</v>
      </c>
      <c r="O71" s="11">
        <v>2580000000</v>
      </c>
      <c r="P71" s="12">
        <v>0.4947203634506398</v>
      </c>
      <c r="Q71" s="11">
        <v>3453000592.8537831</v>
      </c>
      <c r="R71" s="13">
        <v>-0.11010149977751005</v>
      </c>
      <c r="S71" s="13">
        <v>-0.18647068776555709</v>
      </c>
      <c r="T71" s="13">
        <v>-0.26468039893192197</v>
      </c>
      <c r="U71" s="13">
        <v>-0.18625530740902807</v>
      </c>
      <c r="V71" s="12">
        <v>0.14312202394092388</v>
      </c>
      <c r="W71" s="11">
        <v>4244469794.6651211</v>
      </c>
      <c r="X71" s="11">
        <v>4695918057.723711</v>
      </c>
      <c r="Y71" s="11">
        <v>4243346376.6865153</v>
      </c>
      <c r="Z71" s="11">
        <v>3020675413.9418392</v>
      </c>
      <c r="AA71" s="11">
        <v>279629279128.53717</v>
      </c>
      <c r="AB71" s="11">
        <v>32633377.621432476</v>
      </c>
      <c r="AC71" s="12">
        <v>0.38316142853244783</v>
      </c>
      <c r="AD71" s="11">
        <v>71248008.106723204</v>
      </c>
      <c r="AE71" s="12">
        <v>1.1121382836204559</v>
      </c>
      <c r="AF71" s="11">
        <v>137107826.34762755</v>
      </c>
      <c r="AG71" s="12">
        <v>0.70856607339113165</v>
      </c>
      <c r="AH71" s="11">
        <v>213185554.59870189</v>
      </c>
      <c r="AI71" s="12">
        <v>13.85876281729114</v>
      </c>
      <c r="AJ71" s="11">
        <v>5438896.270238746</v>
      </c>
      <c r="AK71" s="12">
        <v>0.38316142853244783</v>
      </c>
      <c r="AL71" s="11">
        <v>11874668.017787199</v>
      </c>
      <c r="AM71" s="12">
        <v>1.1121382836204559</v>
      </c>
      <c r="AN71" s="11">
        <v>22851304.391271252</v>
      </c>
      <c r="AO71" s="12">
        <v>0.70856607339113231</v>
      </c>
      <c r="AP71" s="11">
        <v>35530925.766450293</v>
      </c>
      <c r="AQ71" s="12">
        <v>13.858762817291145</v>
      </c>
      <c r="AR71" s="14">
        <v>3.0755005437205445</v>
      </c>
      <c r="AS71" s="13">
        <v>-0.12258340823374247</v>
      </c>
      <c r="AT71" s="13">
        <v>-0.40916909997413775</v>
      </c>
      <c r="AU71" s="13">
        <v>-0.56709094556417927</v>
      </c>
      <c r="AV71" s="13">
        <v>-0.66526796580882919</v>
      </c>
      <c r="AW71" s="13">
        <v>-0.60784925130931944</v>
      </c>
      <c r="AX71" s="14">
        <v>5.2053820197723608</v>
      </c>
      <c r="AY71" s="14">
        <v>7.1042647692564964</v>
      </c>
      <c r="AZ71" s="14">
        <v>9.187948058667363</v>
      </c>
      <c r="BA71" s="14">
        <v>7.842648659958134</v>
      </c>
      <c r="BB71" s="10">
        <v>94726</v>
      </c>
    </row>
    <row r="72" spans="1:54" ht="15.5" thickTop="1" thickBot="1">
      <c r="A72" s="9" t="s">
        <v>274</v>
      </c>
      <c r="B72" s="10" t="s">
        <v>275</v>
      </c>
      <c r="C72" s="10" t="s">
        <v>98</v>
      </c>
      <c r="D72" s="10" t="s">
        <v>74</v>
      </c>
      <c r="E72" s="11">
        <v>0.71921599999999997</v>
      </c>
      <c r="F72" s="12">
        <v>2.1117330721030017E-2</v>
      </c>
      <c r="G72" s="13">
        <v>-0.55129706486637464</v>
      </c>
      <c r="H72" s="13">
        <v>-0.46070260247825245</v>
      </c>
      <c r="I72" s="13">
        <v>-0.43799007093232345</v>
      </c>
      <c r="J72" s="12">
        <v>3.7682312973328802E-2</v>
      </c>
      <c r="K72" s="11">
        <v>39.04</v>
      </c>
      <c r="L72" s="11">
        <v>0.34932800000000003</v>
      </c>
      <c r="M72" s="11">
        <v>8025580.3464727364</v>
      </c>
      <c r="N72" s="11">
        <v>8953122.3757001739</v>
      </c>
      <c r="O72" s="11">
        <v>23734128</v>
      </c>
      <c r="P72" s="12">
        <v>0.33989050392646952</v>
      </c>
      <c r="Q72" s="11">
        <v>18492705.280000001</v>
      </c>
      <c r="R72" s="13">
        <v>-0.10079705009300166</v>
      </c>
      <c r="S72" s="13">
        <v>-0.23481908691527098</v>
      </c>
      <c r="T72" s="13">
        <v>-0.27015718362535857</v>
      </c>
      <c r="U72" s="13">
        <v>-7.9490078561051059E-2</v>
      </c>
      <c r="V72" s="13">
        <v>-9.3460717903511958E-2</v>
      </c>
      <c r="W72" s="11">
        <v>24167755.577499997</v>
      </c>
      <c r="X72" s="11">
        <v>25337928.750000004</v>
      </c>
      <c r="Y72" s="11">
        <v>20089631.680549458</v>
      </c>
      <c r="Z72" s="11">
        <v>20399232.162596699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>
        <v>16595</v>
      </c>
    </row>
    <row r="73" spans="1:54" ht="15.5" thickTop="1" thickBot="1">
      <c r="A73" s="9" t="s">
        <v>276</v>
      </c>
      <c r="B73" s="10" t="s">
        <v>277</v>
      </c>
      <c r="C73" s="10" t="s">
        <v>278</v>
      </c>
      <c r="D73" s="10" t="s">
        <v>74</v>
      </c>
      <c r="E73" s="11">
        <v>13.19</v>
      </c>
      <c r="F73" s="12">
        <v>2.3068198845811638E-2</v>
      </c>
      <c r="G73" s="13">
        <v>-0.32741600864572129</v>
      </c>
      <c r="H73" s="13">
        <v>-8.7572420296775588E-2</v>
      </c>
      <c r="I73" s="13">
        <v>-0.32369836218974979</v>
      </c>
      <c r="J73" s="12">
        <v>1.6341389325137174</v>
      </c>
      <c r="K73" s="11">
        <v>28.53</v>
      </c>
      <c r="L73" s="11">
        <v>3.4786400000000002E-2</v>
      </c>
      <c r="M73" s="11">
        <v>298847702.33076984</v>
      </c>
      <c r="N73" s="11">
        <v>2035690180.3177915</v>
      </c>
      <c r="O73" s="11">
        <v>2986073521.6199999</v>
      </c>
      <c r="P73" s="12">
        <v>9.3158233958725967E-2</v>
      </c>
      <c r="Q73" s="11">
        <v>1785940091.3085909</v>
      </c>
      <c r="R73" s="13">
        <v>-1.6584551905657885E-2</v>
      </c>
      <c r="S73" s="13">
        <v>-0.13540607261276061</v>
      </c>
      <c r="T73" s="13">
        <v>-0.11833746387016431</v>
      </c>
      <c r="U73" s="13">
        <v>-0.19739265631839709</v>
      </c>
      <c r="V73" s="13">
        <v>-0.1071782557153943</v>
      </c>
      <c r="W73" s="11">
        <v>2065640336.7365932</v>
      </c>
      <c r="X73" s="11">
        <v>2025650425.3296175</v>
      </c>
      <c r="Y73" s="11">
        <v>2225172876.0870638</v>
      </c>
      <c r="Z73" s="11">
        <v>2000332208.2389662</v>
      </c>
      <c r="AA73" s="11">
        <v>14407734682.072506</v>
      </c>
      <c r="AB73" s="11">
        <v>1317991.2300765328</v>
      </c>
      <c r="AC73" s="12">
        <v>0.31200898665080667</v>
      </c>
      <c r="AD73" s="11">
        <v>3743666.6952919513</v>
      </c>
      <c r="AE73" s="12">
        <v>1.4986122910877904</v>
      </c>
      <c r="AF73" s="11">
        <v>7575811.4161153585</v>
      </c>
      <c r="AG73" s="12">
        <v>0.15836146981637755</v>
      </c>
      <c r="AH73" s="11">
        <v>17218787.427597485</v>
      </c>
      <c r="AI73" s="12">
        <v>4.9994987318109327</v>
      </c>
      <c r="AJ73" s="11">
        <v>1317991.2300765328</v>
      </c>
      <c r="AK73" s="12">
        <v>0.31200898665080667</v>
      </c>
      <c r="AL73" s="11">
        <v>3743666.6952919513</v>
      </c>
      <c r="AM73" s="12">
        <v>1.4986122910877904</v>
      </c>
      <c r="AN73" s="11">
        <v>7575811.4161153585</v>
      </c>
      <c r="AO73" s="12">
        <v>0.15836146981637755</v>
      </c>
      <c r="AP73" s="11">
        <v>17218787.427597485</v>
      </c>
      <c r="AQ73" s="12">
        <v>4.9994987318109327</v>
      </c>
      <c r="AR73" s="14">
        <v>67.744204918928915</v>
      </c>
      <c r="AS73" s="13">
        <v>-9.4458464893023786E-2</v>
      </c>
      <c r="AT73" s="13">
        <v>-0.34795810121724458</v>
      </c>
      <c r="AU73" s="13">
        <v>-0.58860157343441333</v>
      </c>
      <c r="AV73" s="13">
        <v>-0.59948261120532731</v>
      </c>
      <c r="AW73" s="13">
        <v>-0.47126222710824495</v>
      </c>
      <c r="AX73" s="14">
        <v>103.89547825898171</v>
      </c>
      <c r="AY73" s="14">
        <v>164.66811865195328</v>
      </c>
      <c r="AZ73" s="14">
        <v>169.1417322049364</v>
      </c>
      <c r="BA73" s="14">
        <v>128.12439056212034</v>
      </c>
      <c r="BB73" s="10">
        <v>129931</v>
      </c>
    </row>
    <row r="74" spans="1:54" ht="15.5" thickTop="1" thickBot="1">
      <c r="A74" s="9" t="s">
        <v>279</v>
      </c>
      <c r="B74" s="10" t="s">
        <v>280</v>
      </c>
      <c r="C74" s="10" t="s">
        <v>168</v>
      </c>
      <c r="D74" s="10" t="s">
        <v>105</v>
      </c>
      <c r="E74" s="11">
        <v>4.91</v>
      </c>
      <c r="F74" s="13">
        <v>-0.19612178276708889</v>
      </c>
      <c r="G74" s="13">
        <v>-0.69853832339312305</v>
      </c>
      <c r="H74" s="13">
        <v>-0.65021563610898503</v>
      </c>
      <c r="I74" s="13">
        <v>-0.30290677699693858</v>
      </c>
      <c r="J74" s="12">
        <v>10.94511078484925</v>
      </c>
      <c r="K74" s="11">
        <v>22.36</v>
      </c>
      <c r="L74" s="11">
        <v>0.121798</v>
      </c>
      <c r="M74" s="11">
        <v>865314109.15327024</v>
      </c>
      <c r="N74" s="11">
        <v>1903621863.1727667</v>
      </c>
      <c r="O74" s="10"/>
      <c r="P74" s="12">
        <v>0.1843303523879507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>
        <v>32659433908.399315</v>
      </c>
      <c r="AB74" s="11">
        <v>132482.07670832111</v>
      </c>
      <c r="AC74" s="13">
        <v>-5.5541017054691055E-2</v>
      </c>
      <c r="AD74" s="11">
        <v>617796.30784727319</v>
      </c>
      <c r="AE74" s="13">
        <v>-7.3649784716797173E-2</v>
      </c>
      <c r="AF74" s="11">
        <v>1990838.3897348838</v>
      </c>
      <c r="AG74" s="13">
        <v>-0.22132392992051619</v>
      </c>
      <c r="AH74" s="11">
        <v>4199971.9794196375</v>
      </c>
      <c r="AI74" s="13">
        <v>-0.412245268168836</v>
      </c>
      <c r="AJ74" s="10"/>
      <c r="AK74" s="10"/>
      <c r="AL74" s="10"/>
      <c r="AM74" s="10"/>
      <c r="AN74" s="10"/>
      <c r="AO74" s="10"/>
      <c r="AP74" s="10"/>
      <c r="AQ74" s="10"/>
      <c r="AR74" s="14">
        <v>261.70029062480648</v>
      </c>
      <c r="AS74" s="13">
        <v>-0.4773140865979415</v>
      </c>
      <c r="AT74" s="13">
        <v>-0.61643994731754859</v>
      </c>
      <c r="AU74" s="13">
        <v>-0.66991553275635041</v>
      </c>
      <c r="AV74" s="13">
        <v>-0.61850636137960513</v>
      </c>
      <c r="AW74" s="13">
        <v>-0.317366193846499</v>
      </c>
      <c r="AX74" s="14">
        <v>682.29287381360234</v>
      </c>
      <c r="AY74" s="14">
        <v>792.8282503267086</v>
      </c>
      <c r="AZ74" s="14">
        <v>685.98860932832304</v>
      </c>
      <c r="BA74" s="14">
        <v>383.36848873546563</v>
      </c>
      <c r="BB74" s="10">
        <v>75009</v>
      </c>
    </row>
    <row r="75" spans="1:54" ht="15.5" thickTop="1" thickBot="1">
      <c r="A75" s="9" t="s">
        <v>281</v>
      </c>
      <c r="B75" s="10" t="s">
        <v>282</v>
      </c>
      <c r="C75" s="10" t="s">
        <v>283</v>
      </c>
      <c r="D75" s="10" t="s">
        <v>105</v>
      </c>
      <c r="E75" s="11">
        <v>3.12</v>
      </c>
      <c r="F75" s="13">
        <v>-5.7275668329054022E-2</v>
      </c>
      <c r="G75" s="13">
        <v>-0.4517567676022618</v>
      </c>
      <c r="H75" s="13">
        <v>-0.35288820498316009</v>
      </c>
      <c r="I75" s="13">
        <v>-0.27475795337674536</v>
      </c>
      <c r="J75" s="12">
        <v>0.17319127026534931</v>
      </c>
      <c r="K75" s="11">
        <v>8.27</v>
      </c>
      <c r="L75" s="11">
        <v>0.35047600000000001</v>
      </c>
      <c r="M75" s="11">
        <v>330815920.32872003</v>
      </c>
      <c r="N75" s="11">
        <v>2597073995.4684505</v>
      </c>
      <c r="O75" s="10"/>
      <c r="P75" s="12">
        <v>0.13163441532608064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>
        <v>27605566451.012447</v>
      </c>
      <c r="AB75" s="11">
        <v>26290.396745050439</v>
      </c>
      <c r="AC75" s="12">
        <v>0.19301179437702198</v>
      </c>
      <c r="AD75" s="11">
        <v>83445.598996460467</v>
      </c>
      <c r="AE75" s="12">
        <v>0.80610891124348849</v>
      </c>
      <c r="AF75" s="11">
        <v>140425.37901944711</v>
      </c>
      <c r="AG75" s="12">
        <v>6.8057659769241887</v>
      </c>
      <c r="AH75" s="11">
        <v>159764.12411772565</v>
      </c>
      <c r="AI75" s="12">
        <v>18.505315457440368</v>
      </c>
      <c r="AJ75" s="10"/>
      <c r="AK75" s="10"/>
      <c r="AL75" s="10"/>
      <c r="AM75" s="10"/>
      <c r="AN75" s="10"/>
      <c r="AO75" s="10"/>
      <c r="AP75" s="10"/>
      <c r="AQ75" s="10"/>
      <c r="AR75" s="14">
        <v>2643.3198453481405</v>
      </c>
      <c r="AS75" s="13">
        <v>-0.34321635102748826</v>
      </c>
      <c r="AT75" s="13">
        <v>-0.4731610921992222</v>
      </c>
      <c r="AU75" s="13">
        <v>-0.55753660081205125</v>
      </c>
      <c r="AV75" s="13">
        <v>-0.80829235576099379</v>
      </c>
      <c r="AW75" s="13">
        <v>-0.88961287069249839</v>
      </c>
      <c r="AX75" s="14">
        <v>5017.3208664150179</v>
      </c>
      <c r="AY75" s="14">
        <v>5974.0983100509875</v>
      </c>
      <c r="AZ75" s="14">
        <v>13788.28609490738</v>
      </c>
      <c r="BA75" s="14">
        <v>23945.906211445505</v>
      </c>
      <c r="BB75" s="10">
        <v>117415</v>
      </c>
    </row>
    <row r="76" spans="1:54" ht="15.5" thickTop="1" thickBot="1">
      <c r="A76" s="9" t="s">
        <v>284</v>
      </c>
      <c r="B76" s="10" t="s">
        <v>285</v>
      </c>
      <c r="C76" s="10" t="s">
        <v>286</v>
      </c>
      <c r="D76" s="10" t="s">
        <v>287</v>
      </c>
      <c r="E76" s="11">
        <v>9.74</v>
      </c>
      <c r="F76" s="12">
        <v>0.28169672638418453</v>
      </c>
      <c r="G76" s="13">
        <v>-0.47151166928298938</v>
      </c>
      <c r="H76" s="13">
        <v>-0.2238384887190592</v>
      </c>
      <c r="I76" s="12">
        <v>1.0703240123976938</v>
      </c>
      <c r="J76" s="10"/>
      <c r="K76" s="11">
        <v>20.76</v>
      </c>
      <c r="L76" s="11">
        <v>1.55</v>
      </c>
      <c r="M76" s="11">
        <v>14731922.043866213</v>
      </c>
      <c r="N76" s="11">
        <v>157870348.78948388</v>
      </c>
      <c r="O76" s="11">
        <v>179593736.68000001</v>
      </c>
      <c r="P76" s="12">
        <v>2.9597194139331814E-2</v>
      </c>
      <c r="Q76" s="11">
        <v>308505228.28180003</v>
      </c>
      <c r="R76" s="13">
        <v>-0.10537580285070558</v>
      </c>
      <c r="S76" s="13">
        <v>-0.35083861928326499</v>
      </c>
      <c r="T76" s="13">
        <v>-0.45492408022038966</v>
      </c>
      <c r="U76" s="13">
        <v>-0.31833875489573016</v>
      </c>
      <c r="V76" s="12">
        <v>9.2868705089137027E-2</v>
      </c>
      <c r="W76" s="11">
        <v>475236570.51376247</v>
      </c>
      <c r="X76" s="11">
        <v>565985795.89892256</v>
      </c>
      <c r="Y76" s="11">
        <v>452578506.54926074</v>
      </c>
      <c r="Z76" s="11">
        <v>282289379.17719734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>
        <v>72844</v>
      </c>
    </row>
    <row r="77" spans="1:54" ht="15.5" thickTop="1" thickBot="1">
      <c r="A77" s="9" t="s">
        <v>288</v>
      </c>
      <c r="B77" s="10" t="s">
        <v>289</v>
      </c>
      <c r="C77" s="10" t="s">
        <v>290</v>
      </c>
      <c r="D77" s="10" t="s">
        <v>74</v>
      </c>
      <c r="E77" s="11">
        <v>2.75</v>
      </c>
      <c r="F77" s="12">
        <v>9.0273587387775019E-3</v>
      </c>
      <c r="G77" s="13">
        <v>-0.44923464581063621</v>
      </c>
      <c r="H77" s="13">
        <v>-0.47298622116730915</v>
      </c>
      <c r="I77" s="13">
        <v>-0.58342204949437604</v>
      </c>
      <c r="J77" s="10"/>
      <c r="K77" s="11">
        <v>9.81</v>
      </c>
      <c r="L77" s="11">
        <v>1.43</v>
      </c>
      <c r="M77" s="11">
        <v>30277932.309106398</v>
      </c>
      <c r="N77" s="11">
        <v>68315943.259037375</v>
      </c>
      <c r="O77" s="11">
        <v>550000000</v>
      </c>
      <c r="P77" s="12">
        <v>5.7960801980249638E-2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>
        <v>33092996752.784882</v>
      </c>
      <c r="AB77" s="11">
        <v>2776683.3113808655</v>
      </c>
      <c r="AC77" s="12">
        <v>0.19840826949183921</v>
      </c>
      <c r="AD77" s="11">
        <v>8431914.2411205303</v>
      </c>
      <c r="AE77" s="12">
        <v>1.2700818989496439</v>
      </c>
      <c r="AF77" s="11">
        <v>16809583.959355798</v>
      </c>
      <c r="AG77" s="12">
        <v>0.30774101820279265</v>
      </c>
      <c r="AH77" s="11">
        <v>34282436.95242057</v>
      </c>
      <c r="AI77" s="12">
        <v>2.6758065705819907</v>
      </c>
      <c r="AJ77" s="11">
        <v>2776683.3113808655</v>
      </c>
      <c r="AK77" s="12">
        <v>0.19840826949183921</v>
      </c>
      <c r="AL77" s="11">
        <v>8431914.2411205303</v>
      </c>
      <c r="AM77" s="12">
        <v>1.2700818989496439</v>
      </c>
      <c r="AN77" s="11">
        <v>16809583.959355798</v>
      </c>
      <c r="AO77" s="12">
        <v>0.30774101820279265</v>
      </c>
      <c r="AP77" s="11">
        <v>34282436.95242057</v>
      </c>
      <c r="AQ77" s="12">
        <v>2.6758065705819907</v>
      </c>
      <c r="AR77" s="14">
        <v>5.5399435325513489</v>
      </c>
      <c r="AS77" s="13">
        <v>-4.9459428408997974E-2</v>
      </c>
      <c r="AT77" s="13">
        <v>-0.34658695147033713</v>
      </c>
      <c r="AU77" s="13">
        <v>-0.6754257062864526</v>
      </c>
      <c r="AV77" s="13">
        <v>-0.75648017114354538</v>
      </c>
      <c r="AW77" s="13">
        <v>-0.6929211904342707</v>
      </c>
      <c r="AX77" s="14">
        <v>8.4784709228221864</v>
      </c>
      <c r="AY77" s="14">
        <v>17.068337326309081</v>
      </c>
      <c r="AZ77" s="14">
        <v>22.749455592862326</v>
      </c>
      <c r="BA77" s="14">
        <v>18.040787446017305</v>
      </c>
      <c r="BB77" s="10">
        <v>8100</v>
      </c>
    </row>
    <row r="78" spans="1:54" ht="15.5" thickTop="1" thickBot="1">
      <c r="A78" s="9" t="s">
        <v>291</v>
      </c>
      <c r="B78" s="10" t="s">
        <v>291</v>
      </c>
      <c r="C78" s="10" t="s">
        <v>292</v>
      </c>
      <c r="D78" s="10" t="s">
        <v>293</v>
      </c>
      <c r="E78" s="11">
        <v>12.77</v>
      </c>
      <c r="F78" s="12">
        <v>4.8339999207431282E-2</v>
      </c>
      <c r="G78" s="13">
        <v>-0.44241065884176256</v>
      </c>
      <c r="H78" s="13">
        <v>-0.42951359960770208</v>
      </c>
      <c r="I78" s="13">
        <v>-0.43660734918808242</v>
      </c>
      <c r="J78" s="12">
        <v>0.47810941590233669</v>
      </c>
      <c r="K78" s="11">
        <v>41.56</v>
      </c>
      <c r="L78" s="11">
        <v>0.30362499999999998</v>
      </c>
      <c r="M78" s="11">
        <v>41420307.661427431</v>
      </c>
      <c r="N78" s="11">
        <v>772428093.54989719</v>
      </c>
      <c r="O78" s="11">
        <v>1309497823.8899999</v>
      </c>
      <c r="P78" s="12">
        <v>3.1234378646708881E-2</v>
      </c>
      <c r="Q78" s="11">
        <v>120819579.17839216</v>
      </c>
      <c r="R78" s="13">
        <v>-8.5645723889758107E-2</v>
      </c>
      <c r="S78" s="13">
        <v>-0.23654569581821594</v>
      </c>
      <c r="T78" s="13">
        <v>-0.36479877298928032</v>
      </c>
      <c r="U78" s="12">
        <v>3.2415112813696245E-2</v>
      </c>
      <c r="V78" s="12">
        <v>0.35864434782692811</v>
      </c>
      <c r="W78" s="11">
        <v>158253845.07836127</v>
      </c>
      <c r="X78" s="11">
        <v>190206778.64079946</v>
      </c>
      <c r="Y78" s="11">
        <v>117026162.90565147</v>
      </c>
      <c r="Z78" s="11">
        <v>88926568.142454639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>
        <v>38589</v>
      </c>
    </row>
    <row r="79" spans="1:54" ht="15.5" thickTop="1" thickBot="1">
      <c r="A79" s="9" t="s">
        <v>294</v>
      </c>
      <c r="B79" s="10" t="s">
        <v>295</v>
      </c>
      <c r="C79" s="10" t="s">
        <v>296</v>
      </c>
      <c r="D79" s="10" t="s">
        <v>74</v>
      </c>
      <c r="E79" s="11">
        <v>19.71</v>
      </c>
      <c r="F79" s="12">
        <v>0.12186474787035402</v>
      </c>
      <c r="G79" s="13">
        <v>-0.43441127358064557</v>
      </c>
      <c r="H79" s="13">
        <v>-0.37528074407737677</v>
      </c>
      <c r="I79" s="13">
        <v>-0.24654173806100899</v>
      </c>
      <c r="J79" s="12">
        <v>4.0880137461671158</v>
      </c>
      <c r="K79" s="11">
        <v>44.92</v>
      </c>
      <c r="L79" s="11">
        <v>1.03</v>
      </c>
      <c r="M79" s="11">
        <v>1640159282.5746291</v>
      </c>
      <c r="N79" s="11">
        <v>10247925512.909649</v>
      </c>
      <c r="O79" s="11">
        <v>19710000000</v>
      </c>
      <c r="P79" s="12">
        <v>4.8046845133657742E-2</v>
      </c>
      <c r="Q79" s="11">
        <v>5323811210.4802732</v>
      </c>
      <c r="R79" s="13">
        <v>-5.9764657924698761E-2</v>
      </c>
      <c r="S79" s="13">
        <v>-0.20402356493836959</v>
      </c>
      <c r="T79" s="13">
        <v>-0.33029563047717747</v>
      </c>
      <c r="U79" s="13">
        <v>-0.17778207453151629</v>
      </c>
      <c r="V79" s="12">
        <v>0.14803170597952664</v>
      </c>
      <c r="W79" s="11">
        <v>6688403043.0725803</v>
      </c>
      <c r="X79" s="11">
        <v>7949494512.4422483</v>
      </c>
      <c r="Y79" s="11">
        <v>6474939362.8786058</v>
      </c>
      <c r="Z79" s="11">
        <v>4637338135.1326675</v>
      </c>
      <c r="AA79" s="11">
        <v>868477388074.25708</v>
      </c>
      <c r="AB79" s="11">
        <v>119060621.21808386</v>
      </c>
      <c r="AC79" s="12">
        <v>0.3561888886541662</v>
      </c>
      <c r="AD79" s="11">
        <v>283201112.62108403</v>
      </c>
      <c r="AE79" s="12">
        <v>1.4503066379776084</v>
      </c>
      <c r="AF79" s="11">
        <v>485880767.61794806</v>
      </c>
      <c r="AG79" s="12">
        <v>2.123816834234332</v>
      </c>
      <c r="AH79" s="11">
        <v>665188396.98740792</v>
      </c>
      <c r="AI79" s="12">
        <v>7.7826389630855637</v>
      </c>
      <c r="AJ79" s="10"/>
      <c r="AK79" s="10"/>
      <c r="AL79" s="10"/>
      <c r="AM79" s="10"/>
      <c r="AN79" s="10"/>
      <c r="AO79" s="10"/>
      <c r="AP79" s="10"/>
      <c r="AQ79" s="10"/>
      <c r="AR79" s="14">
        <v>5.9109937263550574</v>
      </c>
      <c r="AS79" s="13">
        <v>-0.10583397051270593</v>
      </c>
      <c r="AT79" s="13">
        <v>-0.41110068224786822</v>
      </c>
      <c r="AU79" s="13">
        <v>-0.72163392461590758</v>
      </c>
      <c r="AV79" s="13">
        <v>-0.75771878875204202</v>
      </c>
      <c r="AW79" s="13">
        <v>-0.69169943852492199</v>
      </c>
      <c r="AX79" s="14">
        <v>10.037358760946976</v>
      </c>
      <c r="AY79" s="14">
        <v>21.234605252091178</v>
      </c>
      <c r="AZ79" s="14">
        <v>24.397243582811566</v>
      </c>
      <c r="BA79" s="14">
        <v>19.172828288322407</v>
      </c>
      <c r="BB79" s="10">
        <v>504131</v>
      </c>
    </row>
    <row r="80" spans="1:54" ht="15.5" thickTop="1" thickBot="1">
      <c r="A80" s="9" t="s">
        <v>297</v>
      </c>
      <c r="B80" s="10" t="s">
        <v>298</v>
      </c>
      <c r="C80" s="10" t="s">
        <v>299</v>
      </c>
      <c r="D80" s="10" t="s">
        <v>256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1">
        <v>333254585.47437125</v>
      </c>
      <c r="R80" s="13">
        <v>-0.10316736709802987</v>
      </c>
      <c r="S80" s="13">
        <v>-0.25184557841184574</v>
      </c>
      <c r="T80" s="13">
        <v>-0.23821437720284211</v>
      </c>
      <c r="U80" s="12">
        <v>0.13658342987296646</v>
      </c>
      <c r="V80" s="12">
        <v>0.28943708142272562</v>
      </c>
      <c r="W80" s="11">
        <v>445435562.30938375</v>
      </c>
      <c r="X80" s="11">
        <v>437465049.87940365</v>
      </c>
      <c r="Y80" s="11">
        <v>293207323.55883318</v>
      </c>
      <c r="Z80" s="11">
        <v>258449667.90211144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>
        <v>5794</v>
      </c>
    </row>
    <row r="81" spans="1:54" ht="15.5" thickTop="1" thickBot="1">
      <c r="A81" s="9" t="s">
        <v>300</v>
      </c>
      <c r="B81" s="10" t="s">
        <v>301</v>
      </c>
      <c r="C81" s="10" t="s">
        <v>229</v>
      </c>
      <c r="D81" s="10" t="s">
        <v>256</v>
      </c>
      <c r="E81" s="11">
        <v>30.63</v>
      </c>
      <c r="F81" s="12">
        <v>0.17741726691580528</v>
      </c>
      <c r="G81" s="13">
        <v>-0.73419536650057382</v>
      </c>
      <c r="H81" s="13">
        <v>-0.5436868805172872</v>
      </c>
      <c r="I81" s="13">
        <v>-0.59222431159013456</v>
      </c>
      <c r="J81" s="12">
        <v>8.4003130452889785</v>
      </c>
      <c r="K81" s="10"/>
      <c r="L81" s="10"/>
      <c r="M81" s="11">
        <v>278583713.39057636</v>
      </c>
      <c r="N81" s="11">
        <v>307418820.12627321</v>
      </c>
      <c r="O81" s="11">
        <v>918900000</v>
      </c>
      <c r="P81" s="12">
        <v>0.29961061493258717</v>
      </c>
      <c r="Q81" s="11">
        <v>2157780439.7699265</v>
      </c>
      <c r="R81" s="13">
        <v>-7.7186777407184826E-2</v>
      </c>
      <c r="S81" s="13">
        <v>-0.40751926065908473</v>
      </c>
      <c r="T81" s="13">
        <v>-0.60281402094596492</v>
      </c>
      <c r="U81" s="13">
        <v>-0.53051140620921489</v>
      </c>
      <c r="V81" s="13">
        <v>-0.53051140620921489</v>
      </c>
      <c r="W81" s="11">
        <v>3641941917.2516475</v>
      </c>
      <c r="X81" s="11">
        <v>5432670218.8960495</v>
      </c>
      <c r="Y81" s="11">
        <v>4596023137.3192482</v>
      </c>
      <c r="Z81" s="11">
        <v>4596023137.3192482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>
        <v>105957</v>
      </c>
    </row>
    <row r="82" spans="1:54" ht="15.5" thickTop="1" thickBot="1">
      <c r="A82" s="9" t="s">
        <v>302</v>
      </c>
      <c r="B82" s="10" t="s">
        <v>303</v>
      </c>
      <c r="C82" s="10" t="s">
        <v>98</v>
      </c>
      <c r="D82" s="10" t="s">
        <v>89</v>
      </c>
      <c r="E82" s="11">
        <v>14.52</v>
      </c>
      <c r="F82" s="12">
        <v>0.11809896330670953</v>
      </c>
      <c r="G82" s="13">
        <v>-0.3506661957095828</v>
      </c>
      <c r="H82" s="13">
        <v>-0.6359023592699804</v>
      </c>
      <c r="I82" s="13">
        <v>-0.47330853061029143</v>
      </c>
      <c r="J82" s="10"/>
      <c r="K82" s="11">
        <v>79.510000000000005</v>
      </c>
      <c r="L82" s="11">
        <v>9.99</v>
      </c>
      <c r="M82" s="11">
        <v>4264947.1024023993</v>
      </c>
      <c r="N82" s="11">
        <v>49583139.736266665</v>
      </c>
      <c r="O82" s="11">
        <v>145200000</v>
      </c>
      <c r="P82" s="12">
        <v>2.5674224075457094E-2</v>
      </c>
      <c r="Q82" s="11">
        <v>867161579.14815795</v>
      </c>
      <c r="R82" s="13">
        <v>-2.6739357659571361E-2</v>
      </c>
      <c r="S82" s="13">
        <v>-0.22712566235203979</v>
      </c>
      <c r="T82" s="13">
        <v>-0.35478234987250179</v>
      </c>
      <c r="U82" s="13">
        <v>-0.36499913331708556</v>
      </c>
      <c r="V82" s="13">
        <v>-0.36499913331708556</v>
      </c>
      <c r="W82" s="11">
        <v>1121995565.0062547</v>
      </c>
      <c r="X82" s="11">
        <v>1343983040.4155908</v>
      </c>
      <c r="Y82" s="11">
        <v>1365606922.2046781</v>
      </c>
      <c r="Z82" s="11">
        <v>1365606922.2046781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>
        <v>11885</v>
      </c>
    </row>
    <row r="83" spans="1:54" ht="15.5" thickTop="1" thickBot="1">
      <c r="A83" s="9" t="s">
        <v>304</v>
      </c>
      <c r="B83" s="10" t="s">
        <v>305</v>
      </c>
      <c r="C83" s="10" t="s">
        <v>306</v>
      </c>
      <c r="D83" s="10" t="s">
        <v>89</v>
      </c>
      <c r="E83" s="11">
        <v>38010</v>
      </c>
      <c r="F83" s="12">
        <v>0.17638333785247162</v>
      </c>
      <c r="G83" s="13">
        <v>-0.40959868169880542</v>
      </c>
      <c r="H83" s="13">
        <v>-8.2435826547970659E-2</v>
      </c>
      <c r="I83" s="12">
        <v>4.704516752055965E-2</v>
      </c>
      <c r="J83" s="12">
        <v>0.61150114813094225</v>
      </c>
      <c r="K83" s="11">
        <v>90787</v>
      </c>
      <c r="L83" s="11">
        <v>31.65</v>
      </c>
      <c r="M83" s="11">
        <v>1018292708.3928388</v>
      </c>
      <c r="N83" s="11">
        <v>1371030824.2293503</v>
      </c>
      <c r="O83" s="11">
        <v>1393674660</v>
      </c>
      <c r="P83" s="12">
        <v>0.60124310077621967</v>
      </c>
      <c r="Q83" s="11">
        <v>3474413758.7907562</v>
      </c>
      <c r="R83" s="13">
        <v>-1.7369218462997327E-2</v>
      </c>
      <c r="S83" s="13">
        <v>-0.13685525324250314</v>
      </c>
      <c r="T83" s="13">
        <v>-6.2724757777338436E-2</v>
      </c>
      <c r="U83" s="12">
        <v>0.43530325084242794</v>
      </c>
      <c r="V83" s="12">
        <v>1.1826167133859613</v>
      </c>
      <c r="W83" s="11">
        <v>4025296767.2488232</v>
      </c>
      <c r="X83" s="11">
        <v>3706930048.1590714</v>
      </c>
      <c r="Y83" s="11">
        <v>2420682707.1223488</v>
      </c>
      <c r="Z83" s="11">
        <v>1591857029.9046185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>
        <v>121702</v>
      </c>
    </row>
    <row r="84" spans="1:54" ht="15.5" thickTop="1" thickBot="1">
      <c r="A84" s="9" t="s">
        <v>307</v>
      </c>
      <c r="B84" s="10" t="s">
        <v>308</v>
      </c>
      <c r="C84" s="10" t="s">
        <v>309</v>
      </c>
      <c r="D84" s="10" t="s">
        <v>105</v>
      </c>
      <c r="E84" s="11">
        <v>133.09</v>
      </c>
      <c r="F84" s="13">
        <v>-1.5423119870321357E-2</v>
      </c>
      <c r="G84" s="13">
        <v>-0.49713644008337132</v>
      </c>
      <c r="H84" s="13">
        <v>-0.39392001569253876</v>
      </c>
      <c r="I84" s="13">
        <v>-8.5163712216232312E-2</v>
      </c>
      <c r="J84" s="12">
        <v>0.53586090052793844</v>
      </c>
      <c r="K84" s="11">
        <v>3191.93</v>
      </c>
      <c r="L84" s="11">
        <v>19.75</v>
      </c>
      <c r="M84" s="11">
        <v>1971969556.3788991</v>
      </c>
      <c r="N84" s="11">
        <v>1477544568.9465699</v>
      </c>
      <c r="O84" s="11">
        <v>2794890000</v>
      </c>
      <c r="P84" s="12">
        <v>1.0712248602923464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>
        <v>71423109606.190735</v>
      </c>
      <c r="AB84" s="11">
        <v>1672.3387718678714</v>
      </c>
      <c r="AC84" s="13">
        <v>-0.1329375954307892</v>
      </c>
      <c r="AD84" s="11">
        <v>9199.4598560601935</v>
      </c>
      <c r="AE84" s="12">
        <v>3.4934966912714138E-3</v>
      </c>
      <c r="AF84" s="11">
        <v>22648.97871558139</v>
      </c>
      <c r="AG84" s="12">
        <v>0.86296404286789619</v>
      </c>
      <c r="AH84" s="11">
        <v>32120.688991268904</v>
      </c>
      <c r="AI84" s="12">
        <v>4.0671073582559574</v>
      </c>
      <c r="AJ84" s="10"/>
      <c r="AK84" s="10"/>
      <c r="AL84" s="10"/>
      <c r="AM84" s="10"/>
      <c r="AN84" s="10"/>
      <c r="AO84" s="10"/>
      <c r="AP84" s="10"/>
      <c r="AQ84" s="10"/>
      <c r="AR84" s="14">
        <v>25803.06049400397</v>
      </c>
      <c r="AS84" s="12">
        <v>0.43748515880480476</v>
      </c>
      <c r="AT84" s="12">
        <v>0.21301613724060431</v>
      </c>
      <c r="AU84" s="12">
        <v>9.1522540411066888E-2</v>
      </c>
      <c r="AV84" s="12">
        <v>3.0835198898471194E-3</v>
      </c>
      <c r="AW84" s="13">
        <v>-0.10019779964928022</v>
      </c>
      <c r="AX84" s="14">
        <v>21271.81964182384</v>
      </c>
      <c r="AY84" s="14">
        <v>23639.512276390142</v>
      </c>
      <c r="AZ84" s="14">
        <v>25723.740827521036</v>
      </c>
      <c r="BA84" s="14">
        <v>28676.369633177826</v>
      </c>
      <c r="BB84" s="10">
        <v>75713</v>
      </c>
    </row>
    <row r="85" spans="1:54" ht="15" thickTop="1"/>
  </sheetData>
  <mergeCells count="6">
    <mergeCell ref="B1:BB1"/>
    <mergeCell ref="B2:P2"/>
    <mergeCell ref="Q2:Z2"/>
    <mergeCell ref="AB2:AI2"/>
    <mergeCell ref="AJ2:AQ2"/>
    <mergeCell ref="AR2:B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8E9615A1D73468BABE370349218DE" ma:contentTypeVersion="10" ma:contentTypeDescription="Create a new document." ma:contentTypeScope="" ma:versionID="a51f0985905d2d12e0f7c187b14a210c">
  <xsd:schema xmlns:xsd="http://www.w3.org/2001/XMLSchema" xmlns:xs="http://www.w3.org/2001/XMLSchema" xmlns:p="http://schemas.microsoft.com/office/2006/metadata/properties" xmlns:ns3="9ddbb670-55a9-4098-91ab-8b4cabf3fc78" targetNamespace="http://schemas.microsoft.com/office/2006/metadata/properties" ma:root="true" ma:fieldsID="e60fa8d5e7e8b4a7cf755a553ad1b27f" ns3:_="">
    <xsd:import namespace="9ddbb670-55a9-4098-91ab-8b4cabf3fc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dbb670-55a9-4098-91ab-8b4cabf3f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4E5A19-C0C3-41EF-8CBA-D6A20A50D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dbb670-55a9-4098-91ab-8b4cabf3f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9E5644-D304-4839-9CE5-95002B442036}">
  <ds:schemaRefs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ddbb670-55a9-4098-91ab-8b4cabf3fc78"/>
  </ds:schemaRefs>
</ds:datastoreItem>
</file>

<file path=customXml/itemProps3.xml><?xml version="1.0" encoding="utf-8"?>
<ds:datastoreItem xmlns:ds="http://schemas.openxmlformats.org/officeDocument/2006/customXml" ds:itemID="{E7B67FBE-380C-43BC-9248-84C40F0140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Valuation</vt:lpstr>
      <vt:lpstr>PF Ratio Comparables</vt:lpstr>
      <vt:lpstr>3 Factors regression</vt:lpstr>
      <vt:lpstr>Token terminal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陳建任</dc:creator>
  <cp:lastModifiedBy>陳建任</cp:lastModifiedBy>
  <dcterms:created xsi:type="dcterms:W3CDTF">2022-11-21T17:09:42Z</dcterms:created>
  <dcterms:modified xsi:type="dcterms:W3CDTF">2022-11-23T15:33:37Z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0x010100FFB8E9615A1D73468BABE370349218DE</vt:lpwstr>
  </property>
</Properties>
</file>