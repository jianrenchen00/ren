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8"/>
  <workbookPr defaultThemeVersion="166925"/>
  <mc:AlternateContent xmlns:mc="http://schemas.openxmlformats.org/markup-compatibility/2006">
    <mc:Choice Requires="x15">
      <x15ac:absPath xmlns:x15ac="http://schemas.microsoft.com/office/spreadsheetml/2010/11/ac" url="https://saltpartnersltd.sharepoint.com/sites/Oly/Shared Documents/Companies/Tangem/"/>
    </mc:Choice>
  </mc:AlternateContent>
  <xr:revisionPtr revIDLastSave="0" documentId="8_{02C56BB9-5D4D-4D49-B442-9DDD4F64C5F2}" xr6:coauthVersionLast="47" xr6:coauthVersionMax="47" xr10:uidLastSave="{00000000-0000-0000-0000-000000000000}"/>
  <bookViews>
    <workbookView xWindow="28680" yWindow="-120" windowWidth="29040" windowHeight="15840" xr2:uid="{90153647-18E7-2342-BDEA-4BCC439D204B}"/>
  </bookViews>
  <sheets>
    <sheet name="Dashboard" sheetId="17" r:id="rId1"/>
    <sheet name="Unit Economics" sheetId="23" r:id="rId2"/>
    <sheet name="IRR Analysis" sheetId="19" state="hidden" r:id="rId3"/>
    <sheet name="Valuation - DCF" sheetId="20" state="hidden" r:id="rId4"/>
    <sheet name="Valuation - Comps" sheetId="21" state="hidden" r:id="rId5"/>
    <sheet name="Valuation - VC method" sheetId="22" state="hidden" r:id="rId6"/>
    <sheet name="Assumptions &gt;&gt;&gt;" sheetId="18" r:id="rId7"/>
    <sheet name="Fee Structure" sheetId="6" r:id="rId8"/>
    <sheet name="Cost Structure" sheetId="7" r:id="rId9"/>
    <sheet name="Oly Business &gt;&gt;&gt;" sheetId="14" r:id="rId10"/>
    <sheet name="Revenues" sheetId="1" r:id="rId11"/>
    <sheet name="Direct Costs" sheetId="5" r:id="rId12"/>
    <sheet name="Oly CAPEX" sheetId="16" r:id="rId13"/>
  </sheets>
  <externalReferences>
    <externalReference r:id="rId14"/>
    <externalReference r:id="rId15"/>
  </externalReferences>
  <definedNames>
    <definedName name="_uu56" localSheetId="6" hidden="1">1/EUReXToNLG</definedName>
    <definedName name="_uu56" localSheetId="8" hidden="1">1/EUReXToNLG</definedName>
    <definedName name="_uu56" localSheetId="11" hidden="1">1/EUReXToNLG</definedName>
    <definedName name="_uu56" localSheetId="9" hidden="1">1/EUReXToNLG</definedName>
    <definedName name="_uu56" localSheetId="12" hidden="1">1/EUReXToNLG</definedName>
    <definedName name="_uu56" localSheetId="1" hidden="1">1/EUReXToNLG</definedName>
    <definedName name="_uu56" hidden="1">1/EUReXToNLG</definedName>
    <definedName name="aaaa" localSheetId="6" hidden="1">1/EUReXToITL</definedName>
    <definedName name="aaaa" localSheetId="8" hidden="1">1/EUReXToITL</definedName>
    <definedName name="aaaa" localSheetId="11" hidden="1">1/EUReXToITL</definedName>
    <definedName name="aaaa" localSheetId="9" hidden="1">1/EUReXToITL</definedName>
    <definedName name="aaaa" localSheetId="12" hidden="1">1/EUReXToITL</definedName>
    <definedName name="aaaa" localSheetId="1" hidden="1">1/EUReXToITL</definedName>
    <definedName name="aaaa" hidden="1">1/EUReXToITL</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 localSheetId="1" hidden="1">{"FY98Q1 var",#N/A,FALSE,"FY98 - Q1";"FY98Q2 var",#N/A,FALSE,"FY98 - Q2";"FY98Q3 var",#N/A,FALSE,"FY98 - Q3";"FY98Q4 var",#N/A,FALSE,"FY98 - Q4"}</definedName>
    <definedName name="ab" hidden="1">{"FY98Q1 var",#N/A,FALSE,"FY98 - Q1";"FY98Q2 var",#N/A,FALSE,"FY98 - Q2";"FY98Q3 var",#N/A,FALSE,"FY98 - Q3";"FY98Q4 var",#N/A,FALSE,"FY98 - Q4"}</definedName>
    <definedName name="abc" localSheetId="1" hidden="1">{"510 Opex",#N/A,FALSE,"510";"520 Opex",#N/A,FALSE,"520";"UK Cons Opex",#N/A,FALSE,"Consulting-UK";"522 Opex",#N/A,FALSE,"522";"530 Opex",#N/A,FALSE,"530";"600 Opex",#N/A,FALSE,"600";"601 Opex",#N/A,FALSE,"601";"603 Opex",#N/A,FALSE,"603";"610 Opex",#N/A,FALSE,"610";"UK Sales Opex",#N/A,FALSE,"Sales-UK";"640 Opex",#N/A,FALSE,"640";"642 Opex",#N/A,FALSE,"642";"UK Mktg Opex",#N/A,FALSE,"Marketing - UK";"650 Opex",#N/A,FALSE,"650";"700 Opex",#N/A,FALSE,"700";"710 Opex",#N/A,FALSE,"710";"715 Opex",#N/A,FALSE,"715(DCS)";"720 Opex",#N/A,FALSE,"720(QA)";"800 Opex",#N/A,FALSE,"800";"810 Opex",#N/A,FALSE,"810";"820 Opex",#N/A,FALSE,"820";"830 Opex",#N/A,FALSE,"830";"850 Opex",#N/A,FALSE,"850";"851 Opex",#N/A,FALSE,"851";"Fringe Opex",#N/A,FALSE,"Fringe-825"}</definedName>
    <definedName name="abc" hidden="1">{"510 Opex",#N/A,FALSE,"510";"520 Opex",#N/A,FALSE,"520";"UK Cons Opex",#N/A,FALSE,"Consulting-UK";"522 Opex",#N/A,FALSE,"522";"530 Opex",#N/A,FALSE,"530";"600 Opex",#N/A,FALSE,"600";"601 Opex",#N/A,FALSE,"601";"603 Opex",#N/A,FALSE,"603";"610 Opex",#N/A,FALSE,"610";"UK Sales Opex",#N/A,FALSE,"Sales-UK";"640 Opex",#N/A,FALSE,"640";"642 Opex",#N/A,FALSE,"642";"UK Mktg Opex",#N/A,FALSE,"Marketing - UK";"650 Opex",#N/A,FALSE,"650";"700 Opex",#N/A,FALSE,"700";"710 Opex",#N/A,FALSE,"710";"715 Opex",#N/A,FALSE,"715(DCS)";"720 Opex",#N/A,FALSE,"720(QA)";"800 Opex",#N/A,FALSE,"800";"810 Opex",#N/A,FALSE,"810";"820 Opex",#N/A,FALSE,"820";"830 Opex",#N/A,FALSE,"830";"850 Opex",#N/A,FALSE,"850";"851 Opex",#N/A,FALSE,"851";"Fringe Opex",#N/A,FALSE,"Fringe-825"}</definedName>
    <definedName name="AccessDatabase" hidden="1">"C:\DATA\Kevin\Kevin's Model.mdb"</definedName>
    <definedName name="ACCOUNT_CHANGE" hidden="1">"ACCOUNT_CHANGE"</definedName>
    <definedName name="ACCOUNTS_PAY" hidden="1">"ACCOUNTS_PAY"</definedName>
    <definedName name="ACCRUED_EXP" hidden="1">"ACCRUED_EXP"</definedName>
    <definedName name="ADD_PAID_IN" hidden="1">"ADD_PAID_IN"</definedName>
    <definedName name="adf" localSheetI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dfasfdadf" localSheetI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dfasfdadf"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dfda" localSheetI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dfda"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sdfasfdasdf" localSheetI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sdfasfdasdf"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 localSheetI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1New" localSheetI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1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New" localSheetI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im" localSheetId="1" hidden="1">{#N/A,#N/A,FALSE,"Cover";#N/A,#N/A,FALSE,"Contents-Pg1";#N/A,#N/A,FALSE,"High-Com-pg2";#N/A,#N/A,FALSE,"1 Full";#N/A,#N/A,FALSE,"1chts";#N/A,#N/A,FALSE,"Table 2";#N/A,#N/A,FALSE,"3New Iss";#N/A,#N/A,FALSE,"4Money raised";#N/A,#N/A,FALSE,"5Aim";#N/A,#N/A,FALSE,"AiM charts";#N/A,#N/A,FALSE,"6FT Smll";#N/A,#N/A,FALSE,"11SEATS";#N/A,#N/A,FALSE,"12Notes"}</definedName>
    <definedName name="aim" hidden="1">{#N/A,#N/A,FALSE,"Cover";#N/A,#N/A,FALSE,"Contents-Pg1";#N/A,#N/A,FALSE,"High-Com-pg2";#N/A,#N/A,FALSE,"1 Full";#N/A,#N/A,FALSE,"1chts";#N/A,#N/A,FALSE,"Table 2";#N/A,#N/A,FALSE,"3New Iss";#N/A,#N/A,FALSE,"4Money raised";#N/A,#N/A,FALSE,"5Aim";#N/A,#N/A,FALSE,"AiM charts";#N/A,#N/A,FALSE,"6FT Smll";#N/A,#N/A,FALSE,"11SEATS";#N/A,#N/A,FALSE,"12Notes"}</definedName>
    <definedName name="aimband" localSheetId="1" hidden="1">{#N/A,#N/A,FALSE,"Cover";#N/A,#N/A,FALSE,"Contents-Pg1";#N/A,#N/A,FALSE,"High-Com-pg2";#N/A,#N/A,FALSE,"1 Full";#N/A,#N/A,FALSE,"1chts";#N/A,#N/A,FALSE,"Table 2";#N/A,#N/A,FALSE,"3New Iss";#N/A,#N/A,FALSE,"4Money raised";#N/A,#N/A,FALSE,"5Aim";#N/A,#N/A,FALSE,"AiM charts";#N/A,#N/A,FALSE,"6FT Smll";#N/A,#N/A,FALSE,"11SEATS";#N/A,#N/A,FALSE,"12Notes"}</definedName>
    <definedName name="aimband" hidden="1">{#N/A,#N/A,FALSE,"Cover";#N/A,#N/A,FALSE,"Contents-Pg1";#N/A,#N/A,FALSE,"High-Com-pg2";#N/A,#N/A,FALSE,"1 Full";#N/A,#N/A,FALSE,"1chts";#N/A,#N/A,FALSE,"Table 2";#N/A,#N/A,FALSE,"3New Iss";#N/A,#N/A,FALSE,"4Money raised";#N/A,#N/A,FALSE,"5Aim";#N/A,#N/A,FALSE,"AiM charts";#N/A,#N/A,FALSE,"6FT Smll";#N/A,#N/A,FALSE,"11SEATS";#N/A,#N/A,FALSE,"12Notes"}</definedName>
    <definedName name="AJHFkjDGHF" localSheetId="1" hidden="1">{"Annual_Income",#N/A,FALSE,"Report Page";"Balance_Cash_Flow",#N/A,FALSE,"Report Page";"Quarterly_Income",#N/A,FALSE,"Report Page"}</definedName>
    <definedName name="AJHFkjDGHF" hidden="1">{"Annual_Income",#N/A,FALSE,"Report Page";"Balance_Cash_Flow",#N/A,FALSE,"Report Page";"Quarterly_Income",#N/A,FALSE,"Report Page"}</definedName>
    <definedName name="AMORTIZATION" hidden="1">"AMORTIZATION"</definedName>
    <definedName name="anscount" hidden="1">1</definedName>
    <definedName name="as" localSheetId="1" hidden="1">{#N/A,#N/A,FALSE,"SUMMARY";#N/A,#N/A,FALSE,"mcsh";#N/A,#N/A,FALSE,"vol&amp;rev";#N/A,#N/A,FALSE,"wkgcap";#N/A,#N/A,FALSE,"DEPR&amp;DT";#N/A,#N/A,FALSE,"ASSETS";#N/A,#N/A,FALSE,"NI&amp;OTH&amp;DIV";#N/A,#N/A,FALSE,"CASHFLOW";#N/A,#N/A,FALSE,"CAPEMPL";#N/A,#N/A,FALSE,"ROCE"}</definedName>
    <definedName name="as" hidden="1">{#N/A,#N/A,FALSE,"SUMMARY";#N/A,#N/A,FALSE,"mcsh";#N/A,#N/A,FALSE,"vol&amp;rev";#N/A,#N/A,FALSE,"wkgcap";#N/A,#N/A,FALSE,"DEPR&amp;DT";#N/A,#N/A,FALSE,"ASSETS";#N/A,#N/A,FALSE,"NI&amp;OTH&amp;DIV";#N/A,#N/A,FALSE,"CASHFLOW";#N/A,#N/A,FALSE,"CAPEMPL";#N/A,#N/A,FALSE,"ROCE"}</definedName>
    <definedName name="AS2DocOpenMode" hidden="1">"AS2DocumentEdit"</definedName>
    <definedName name="asdf" localSheetId="1" hidden="1">{#N/A,#N/A,FALSE,"Renewals In Process";#N/A,#N/A,FALSE,"New Clients In Process";#N/A,#N/A,FALSE,"Completed New Clients";#N/A,#N/A,FALSE,"Completed Renewals"}</definedName>
    <definedName name="asdf" hidden="1">{#N/A,#N/A,FALSE,"Renewals In Process";#N/A,#N/A,FALSE,"New Clients In Process";#N/A,#N/A,FALSE,"Completed New Clients";#N/A,#N/A,FALSE,"Completed Renewals"}</definedName>
    <definedName name="asdfadg" localSheetI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sdfadg"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sdfasdfasd" localSheetId="1" hidden="1">{"ReportTop",#N/A,FALSE,"report top"}</definedName>
    <definedName name="asdfasdfasd" hidden="1">{"ReportTop",#N/A,FALSE,"report top"}</definedName>
    <definedName name="asdfasdre"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asdfasdre" hidden="1">{TRUE,TRUE,-1.25,-15.5,604.5,369,FALSE,FALSE,TRUE,TRUE,0,1,83,1,38,4,5,4,TRUE,TRUE,3,TRUE,1,TRUE,75,"Swvu.inputs._.raw._.data.","ACwvu.inputs._.raw._.data.",#N/A,FALSE,FALSE,0.5,0.5,0.5,0.5,2,"&amp;F","&amp;A&amp;RPage &amp;P",FALSE,FALSE,FALSE,FALSE,1,60,#N/A,#N/A,"=R1C61:R53C89","=C1:C5",#N/A,#N/A,FALSE,FALSE,FALSE,1,600,600,FALSE,FALSE,TRUE,TRUE,TRUE}</definedName>
    <definedName name="asdsa" localSheetId="1" hidden="1">{"FY97Tot nvs",#N/A,FALSE,"FY97 - Total";"FY98Tot nvs",#N/A,FALSE,"FY98 - Total"}</definedName>
    <definedName name="asdsa" hidden="1">{"FY97Tot nvs",#N/A,FALSE,"FY97 - Total";"FY98Tot nvs",#N/A,FALSE,"FY98 - Total"}</definedName>
    <definedName name="aser" localSheetId="1" hidden="1">{"FY97Tot nvs",#N/A,FALSE,"FY97 - Total";"FY98Tot nvs",#N/A,FALSE,"FY98 - Total"}</definedName>
    <definedName name="aser" hidden="1">{"FY97Tot nvs",#N/A,FALSE,"FY97 - Total";"FY98Tot nvs",#N/A,FALSE,"FY98 - Total"}</definedName>
    <definedName name="asfd" localSheetId="1" hidden="1">{"ALLOCATION1",#N/A,FALSE,"EXPENSE ALLOCATIONS";"ALLOCATION2",#N/A,FALSE,"EXPENSE ALLOCATIONS";"ALLOCATION3",#N/A,FALSE,"EXPENSE ALLOCATIONS";"ALLOCATION4",#N/A,FALSE,"EXPENSE ALLOCATIONS"}</definedName>
    <definedName name="asfd" hidden="1">{"ALLOCATION1",#N/A,FALSE,"EXPENSE ALLOCATIONS";"ALLOCATION2",#N/A,FALSE,"EXPENSE ALLOCATIONS";"ALLOCATION3",#N/A,FALSE,"EXPENSE ALLOCATIONS";"ALLOCATION4",#N/A,FALSE,"EXPENSE ALLOCATIONS"}</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40761.3389351852</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UK" localSheetId="6" hidden="1">1/EUReXToNLG</definedName>
    <definedName name="UK" localSheetId="8" hidden="1">1/EUReXToNLG</definedName>
    <definedName name="UK" localSheetId="11" hidden="1">1/EUReXToNLG</definedName>
    <definedName name="UK" localSheetId="9" hidden="1">1/EUReXToNLG</definedName>
    <definedName name="UK" localSheetId="12" hidden="1">1/EUReXToNLG</definedName>
    <definedName name="UK" localSheetId="1" hidden="1">1/EUReXToNLG</definedName>
    <definedName name="UK" hidden="1">1/EUReXToNLG</definedName>
    <definedName name="UK_2" localSheetId="6" hidden="1">1/EUReXToNLG</definedName>
    <definedName name="UK_2" localSheetId="8" hidden="1">1/EUReXToNLG</definedName>
    <definedName name="UK_2" localSheetId="11" hidden="1">1/EUReXToNLG</definedName>
    <definedName name="UK_2" localSheetId="9" hidden="1">1/EUReXToNLG</definedName>
    <definedName name="UK_2" localSheetId="12" hidden="1">1/EUReXToNLG</definedName>
    <definedName name="UK_2" localSheetId="1" hidden="1">1/EUReXToNLG</definedName>
    <definedName name="UK_2" hidden="1">1/EUReXToNLG</definedName>
    <definedName name="UK_3" localSheetId="6" hidden="1">1/EUReXToITL</definedName>
    <definedName name="UK_3" localSheetId="8" hidden="1">1/EUReXToITL</definedName>
    <definedName name="UK_3" localSheetId="11" hidden="1">1/EUReXToITL</definedName>
    <definedName name="UK_3" localSheetId="9" hidden="1">1/EUReXToITL</definedName>
    <definedName name="UK_3" localSheetId="12" hidden="1">1/EUReXToITL</definedName>
    <definedName name="UK_3" localSheetId="1" hidden="1">1/EUReXToITL</definedName>
    <definedName name="UK_3" hidden="1">1/EUReXToITL</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1" l="1"/>
  <c r="C55" i="17"/>
  <c r="C56" i="17" s="1"/>
  <c r="D55" i="17"/>
  <c r="D56" i="17" s="1"/>
  <c r="E55" i="17"/>
  <c r="E56" i="17" s="1"/>
  <c r="B55" i="17"/>
  <c r="B7" i="6"/>
  <c r="H34" i="1" s="1"/>
  <c r="C6" i="17"/>
  <c r="D34" i="1" l="1"/>
  <c r="G34" i="1"/>
  <c r="F34" i="1"/>
  <c r="E34" i="1"/>
  <c r="K34" i="1"/>
  <c r="N34" i="1"/>
  <c r="L34" i="1"/>
  <c r="J34" i="1"/>
  <c r="C34" i="1"/>
  <c r="I34" i="1"/>
  <c r="M34" i="1"/>
  <c r="C5" i="17" l="1"/>
  <c r="C72" i="5"/>
  <c r="B61" i="17" l="1"/>
  <c r="B3" i="6" l="1"/>
  <c r="B6" i="23"/>
  <c r="C6" i="23" s="1"/>
  <c r="C26" i="23"/>
  <c r="C24" i="23"/>
  <c r="C23" i="23"/>
  <c r="C22" i="23"/>
  <c r="C21" i="23"/>
  <c r="C20" i="23"/>
  <c r="C19" i="23"/>
  <c r="C18" i="23"/>
  <c r="C17" i="23"/>
  <c r="C13" i="23"/>
  <c r="U36" i="23"/>
  <c r="T36" i="23"/>
  <c r="S36" i="23"/>
  <c r="R36" i="23"/>
  <c r="Q36" i="23"/>
  <c r="P36" i="23"/>
  <c r="O36" i="23"/>
  <c r="N36" i="23"/>
  <c r="M36" i="23"/>
  <c r="L36" i="23"/>
  <c r="K36" i="23"/>
  <c r="J36" i="23"/>
  <c r="I36" i="23"/>
  <c r="H36" i="23"/>
  <c r="G36" i="23"/>
  <c r="F36" i="23"/>
  <c r="E36" i="23"/>
  <c r="D36" i="23"/>
  <c r="C36" i="23"/>
  <c r="B36" i="23"/>
  <c r="U34" i="23"/>
  <c r="T34" i="23"/>
  <c r="S34" i="23"/>
  <c r="R34" i="23"/>
  <c r="Q34" i="23"/>
  <c r="P34" i="23"/>
  <c r="O34" i="23"/>
  <c r="N34" i="23"/>
  <c r="M34" i="23"/>
  <c r="L34" i="23"/>
  <c r="L37" i="23" s="1"/>
  <c r="L38" i="23" s="1"/>
  <c r="K34" i="23"/>
  <c r="J34" i="23"/>
  <c r="I34" i="23"/>
  <c r="H34" i="23"/>
  <c r="G34" i="23"/>
  <c r="F34" i="23"/>
  <c r="E34" i="23"/>
  <c r="D34" i="23"/>
  <c r="C34" i="23"/>
  <c r="B34" i="23"/>
  <c r="B37" i="23" s="1"/>
  <c r="B23" i="23"/>
  <c r="B17" i="23"/>
  <c r="D2" i="1"/>
  <c r="D3" i="1" s="1"/>
  <c r="B4" i="6"/>
  <c r="C8" i="5"/>
  <c r="D8" i="5"/>
  <c r="E8" i="5"/>
  <c r="F8" i="5"/>
  <c r="G8" i="5"/>
  <c r="H8" i="5"/>
  <c r="I8" i="5"/>
  <c r="J8" i="5"/>
  <c r="K8" i="5"/>
  <c r="L8" i="5"/>
  <c r="M8" i="5"/>
  <c r="N8" i="5"/>
  <c r="C9" i="5"/>
  <c r="D9" i="5"/>
  <c r="E9" i="5"/>
  <c r="F9" i="5"/>
  <c r="G9" i="5"/>
  <c r="H9" i="5"/>
  <c r="I9" i="5"/>
  <c r="J9" i="5"/>
  <c r="K9" i="5"/>
  <c r="L9" i="5"/>
  <c r="M9" i="5"/>
  <c r="N9" i="5"/>
  <c r="C65" i="1"/>
  <c r="B24" i="22"/>
  <c r="B23" i="22"/>
  <c r="B22" i="22"/>
  <c r="B21" i="22"/>
  <c r="B20" i="22"/>
  <c r="B19" i="22"/>
  <c r="I21" i="21"/>
  <c r="H21" i="21"/>
  <c r="E10" i="21"/>
  <c r="H16" i="21" s="1"/>
  <c r="C10" i="21"/>
  <c r="E9" i="21"/>
  <c r="C9" i="21"/>
  <c r="E8" i="21"/>
  <c r="H14" i="21" s="1"/>
  <c r="C8" i="21"/>
  <c r="G62" i="20"/>
  <c r="H62" i="20"/>
  <c r="H64" i="20" s="1"/>
  <c r="H65" i="20" s="1"/>
  <c r="H55" i="20"/>
  <c r="G52" i="20"/>
  <c r="H52" i="20"/>
  <c r="H54" i="20" s="1"/>
  <c r="D7" i="1" l="1"/>
  <c r="E2" i="1"/>
  <c r="M37" i="23"/>
  <c r="M38" i="23" s="1"/>
  <c r="M39" i="23" s="1"/>
  <c r="B38" i="23"/>
  <c r="B39" i="23" s="1"/>
  <c r="L39" i="23"/>
  <c r="C37" i="23"/>
  <c r="C38" i="23" s="1"/>
  <c r="C39" i="23" s="1"/>
  <c r="D37" i="23"/>
  <c r="D38" i="23" s="1"/>
  <c r="D39" i="23" s="1"/>
  <c r="N37" i="23"/>
  <c r="N38" i="23" s="1"/>
  <c r="N39" i="23" s="1"/>
  <c r="E37" i="23"/>
  <c r="E38" i="23" s="1"/>
  <c r="E39" i="23" s="1"/>
  <c r="O37" i="23"/>
  <c r="O38" i="23" s="1"/>
  <c r="O39" i="23" s="1"/>
  <c r="F37" i="23"/>
  <c r="F38" i="23" s="1"/>
  <c r="F39" i="23" s="1"/>
  <c r="P37" i="23"/>
  <c r="P38" i="23" s="1"/>
  <c r="P39" i="23" s="1"/>
  <c r="G37" i="23"/>
  <c r="G38" i="23" s="1"/>
  <c r="G39" i="23" s="1"/>
  <c r="Q37" i="23"/>
  <c r="Q38" i="23" s="1"/>
  <c r="Q39" i="23" s="1"/>
  <c r="H37" i="23"/>
  <c r="H38" i="23" s="1"/>
  <c r="H39" i="23" s="1"/>
  <c r="R37" i="23"/>
  <c r="R38" i="23" s="1"/>
  <c r="R39" i="23" s="1"/>
  <c r="I37" i="23"/>
  <c r="I38" i="23" s="1"/>
  <c r="I39" i="23" s="1"/>
  <c r="S37" i="23"/>
  <c r="S38" i="23" s="1"/>
  <c r="S39" i="23" s="1"/>
  <c r="J37" i="23"/>
  <c r="J38" i="23" s="1"/>
  <c r="J39" i="23" s="1"/>
  <c r="T37" i="23"/>
  <c r="T38" i="23" s="1"/>
  <c r="T39" i="23" s="1"/>
  <c r="K37" i="23"/>
  <c r="K38" i="23" s="1"/>
  <c r="K39" i="23" s="1"/>
  <c r="U37" i="23"/>
  <c r="U38" i="23" s="1"/>
  <c r="U39" i="23" s="1"/>
  <c r="H15" i="21"/>
  <c r="P10" i="20"/>
  <c r="F2" i="1" l="1"/>
  <c r="E7" i="1"/>
  <c r="E3" i="1"/>
  <c r="B24" i="23"/>
  <c r="B13" i="23"/>
  <c r="K23" i="21"/>
  <c r="J23" i="21"/>
  <c r="I16" i="21" s="1"/>
  <c r="K16" i="21" s="1"/>
  <c r="I23" i="21"/>
  <c r="H23" i="21"/>
  <c r="I10" i="21" s="1"/>
  <c r="K10" i="21" s="1"/>
  <c r="K22" i="21"/>
  <c r="J22" i="21"/>
  <c r="I15" i="21" s="1"/>
  <c r="K15" i="21" s="1"/>
  <c r="I22" i="21"/>
  <c r="H22" i="21"/>
  <c r="I9" i="21" s="1"/>
  <c r="K9" i="21" s="1"/>
  <c r="K21" i="21"/>
  <c r="J21" i="21"/>
  <c r="I14" i="21" s="1"/>
  <c r="K14" i="21" s="1"/>
  <c r="I8" i="21"/>
  <c r="K8" i="21" s="1"/>
  <c r="D13" i="21"/>
  <c r="E13" i="21" s="1"/>
  <c r="D7" i="21"/>
  <c r="E7" i="21" s="1"/>
  <c r="G4" i="21"/>
  <c r="J108" i="20"/>
  <c r="J101" i="20"/>
  <c r="J110" i="20" s="1"/>
  <c r="I101" i="20"/>
  <c r="I110" i="20" s="1"/>
  <c r="J100" i="20"/>
  <c r="J109" i="20" s="1"/>
  <c r="I100" i="20"/>
  <c r="I109" i="20" s="1"/>
  <c r="J99" i="20"/>
  <c r="I99" i="20"/>
  <c r="I108" i="20" s="1"/>
  <c r="J98" i="20"/>
  <c r="J107" i="20" s="1"/>
  <c r="I98" i="20"/>
  <c r="I107" i="20" s="1"/>
  <c r="J97" i="20"/>
  <c r="J106" i="20" s="1"/>
  <c r="I97" i="20"/>
  <c r="I106" i="20" s="1"/>
  <c r="E96" i="20"/>
  <c r="E105" i="20" s="1"/>
  <c r="H90" i="20"/>
  <c r="H89" i="20"/>
  <c r="H87" i="20"/>
  <c r="H86" i="20"/>
  <c r="J81" i="20"/>
  <c r="J90" i="20" s="1"/>
  <c r="I81" i="20"/>
  <c r="I90" i="20" s="1"/>
  <c r="J80" i="20"/>
  <c r="J89" i="20" s="1"/>
  <c r="I80" i="20"/>
  <c r="I89" i="20" s="1"/>
  <c r="C80" i="20"/>
  <c r="C81" i="20" s="1"/>
  <c r="J79" i="20"/>
  <c r="J88" i="20" s="1"/>
  <c r="I79" i="20"/>
  <c r="I88" i="20" s="1"/>
  <c r="J78" i="20"/>
  <c r="J87" i="20" s="1"/>
  <c r="I78" i="20"/>
  <c r="I87" i="20" s="1"/>
  <c r="C78" i="20"/>
  <c r="C98" i="20" s="1"/>
  <c r="H98" i="20" s="1"/>
  <c r="J77" i="20"/>
  <c r="J86" i="20" s="1"/>
  <c r="I77" i="20"/>
  <c r="I86" i="20" s="1"/>
  <c r="I76" i="20"/>
  <c r="D76" i="20"/>
  <c r="H47" i="20"/>
  <c r="G47" i="20"/>
  <c r="F47" i="20"/>
  <c r="K35" i="20"/>
  <c r="K36" i="20" s="1"/>
  <c r="K33" i="20"/>
  <c r="K32" i="20" s="1"/>
  <c r="F25" i="20"/>
  <c r="O22" i="20"/>
  <c r="P22" i="20" s="1"/>
  <c r="M22" i="20"/>
  <c r="L22" i="20" s="1"/>
  <c r="H44" i="20"/>
  <c r="F43" i="20"/>
  <c r="K43" i="19"/>
  <c r="L43" i="19" s="1"/>
  <c r="E43" i="19"/>
  <c r="F43" i="19" s="1"/>
  <c r="G43" i="19" s="1"/>
  <c r="H43" i="19" s="1"/>
  <c r="I43" i="19" s="1"/>
  <c r="D43" i="19"/>
  <c r="C37" i="19"/>
  <c r="M31" i="19"/>
  <c r="L31" i="19"/>
  <c r="K31" i="19"/>
  <c r="J31" i="19"/>
  <c r="I31" i="19"/>
  <c r="L25" i="19"/>
  <c r="I25" i="19"/>
  <c r="E24" i="19"/>
  <c r="F24" i="19" s="1"/>
  <c r="G24" i="19" s="1"/>
  <c r="H24" i="19" s="1"/>
  <c r="H19" i="19"/>
  <c r="H27" i="19" s="1"/>
  <c r="G19" i="19"/>
  <c r="F19" i="19"/>
  <c r="E19" i="19"/>
  <c r="I18" i="19"/>
  <c r="I19" i="19" s="1"/>
  <c r="M14" i="19"/>
  <c r="M25" i="19" s="1"/>
  <c r="L14" i="19"/>
  <c r="K14" i="19"/>
  <c r="K25" i="19" s="1"/>
  <c r="J14" i="19"/>
  <c r="J25" i="19" s="1"/>
  <c r="H14" i="19"/>
  <c r="H25" i="19" s="1"/>
  <c r="G14" i="19"/>
  <c r="G25" i="19" s="1"/>
  <c r="F14" i="19"/>
  <c r="F25" i="19" s="1"/>
  <c r="E14" i="19"/>
  <c r="E25" i="19" s="1"/>
  <c r="D14" i="19"/>
  <c r="D25" i="19" s="1"/>
  <c r="C14" i="19"/>
  <c r="C25" i="19" s="1"/>
  <c r="D13" i="19"/>
  <c r="E13" i="19" s="1"/>
  <c r="F13" i="19" s="1"/>
  <c r="G13" i="19" s="1"/>
  <c r="H13" i="19" s="1"/>
  <c r="I13" i="19" s="1"/>
  <c r="J13" i="19" s="1"/>
  <c r="K13" i="19" s="1"/>
  <c r="L13" i="19" s="1"/>
  <c r="M13" i="19" s="1"/>
  <c r="C9" i="19"/>
  <c r="C11" i="19" s="1"/>
  <c r="D7" i="19"/>
  <c r="D17" i="19" s="1"/>
  <c r="D19" i="19" s="1"/>
  <c r="C21" i="19" s="1"/>
  <c r="C34" i="19" s="1"/>
  <c r="C6" i="19"/>
  <c r="F3" i="1" l="1"/>
  <c r="G2" i="1"/>
  <c r="F7" i="1"/>
  <c r="C77" i="20"/>
  <c r="H77" i="20" s="1"/>
  <c r="H78" i="20"/>
  <c r="H33" i="20"/>
  <c r="F26" i="20"/>
  <c r="H29" i="20"/>
  <c r="L14" i="21"/>
  <c r="L15" i="21"/>
  <c r="L16" i="21"/>
  <c r="H48" i="20"/>
  <c r="H49" i="20" s="1"/>
  <c r="C97" i="20"/>
  <c r="H97" i="20" s="1"/>
  <c r="P9" i="20"/>
  <c r="H43" i="20"/>
  <c r="F33" i="20"/>
  <c r="H80" i="20"/>
  <c r="F44" i="20"/>
  <c r="P15" i="20"/>
  <c r="F22" i="20"/>
  <c r="H26" i="20"/>
  <c r="F32" i="20"/>
  <c r="C100" i="20"/>
  <c r="H35" i="20"/>
  <c r="H42" i="20" s="1"/>
  <c r="C101" i="20"/>
  <c r="H81" i="20"/>
  <c r="C107" i="20"/>
  <c r="H107" i="20" s="1"/>
  <c r="F48" i="20"/>
  <c r="F49" i="20" s="1"/>
  <c r="F76" i="20"/>
  <c r="D85" i="20"/>
  <c r="F29" i="20"/>
  <c r="F35" i="20"/>
  <c r="F42" i="20" s="1"/>
  <c r="G48" i="20"/>
  <c r="G49" i="20" s="1"/>
  <c r="I85" i="20"/>
  <c r="H29" i="19"/>
  <c r="H31" i="19" s="1"/>
  <c r="F29" i="19"/>
  <c r="F31" i="19" s="1"/>
  <c r="G29" i="19"/>
  <c r="G31" i="19" s="1"/>
  <c r="E29" i="19"/>
  <c r="E31" i="19" s="1"/>
  <c r="D29" i="19"/>
  <c r="D31" i="19" s="1"/>
  <c r="C22" i="19"/>
  <c r="H2" i="1" l="1"/>
  <c r="G7" i="1"/>
  <c r="G3" i="1"/>
  <c r="H37" i="20"/>
  <c r="H39" i="20" s="1"/>
  <c r="H41" i="20" s="1"/>
  <c r="H45" i="20" s="1"/>
  <c r="H50" i="20" s="1"/>
  <c r="C106" i="20"/>
  <c r="H106" i="20" s="1"/>
  <c r="H100" i="20"/>
  <c r="C109" i="20"/>
  <c r="H109" i="20" s="1"/>
  <c r="F37" i="20"/>
  <c r="F39" i="20" s="1"/>
  <c r="F41" i="20" s="1"/>
  <c r="F45" i="20" s="1"/>
  <c r="F50" i="20" s="1"/>
  <c r="I96" i="20"/>
  <c r="I105" i="20"/>
  <c r="F96" i="20"/>
  <c r="F85" i="20"/>
  <c r="J85" i="20" s="1"/>
  <c r="J76" i="20"/>
  <c r="C110" i="20"/>
  <c r="H110" i="20" s="1"/>
  <c r="H101" i="20"/>
  <c r="C36" i="19"/>
  <c r="C38" i="19" s="1"/>
  <c r="H3" i="1" l="1"/>
  <c r="I2" i="1"/>
  <c r="H7" i="1"/>
  <c r="P12" i="20"/>
  <c r="J96" i="20"/>
  <c r="F105" i="20"/>
  <c r="J105" i="20" s="1"/>
  <c r="B44" i="19"/>
  <c r="C39" i="19"/>
  <c r="J2" i="1" l="1"/>
  <c r="I7" i="1"/>
  <c r="I3" i="1"/>
  <c r="D110" i="20"/>
  <c r="F108" i="20"/>
  <c r="E109" i="20"/>
  <c r="F107" i="20"/>
  <c r="D109" i="20"/>
  <c r="E108" i="20"/>
  <c r="D108" i="20"/>
  <c r="E107" i="20"/>
  <c r="F106" i="20"/>
  <c r="E86" i="20"/>
  <c r="D107" i="20"/>
  <c r="F110" i="20"/>
  <c r="E106" i="20"/>
  <c r="D106" i="20"/>
  <c r="E110" i="20"/>
  <c r="F109" i="20"/>
  <c r="E87" i="20"/>
  <c r="D88" i="20"/>
  <c r="F86" i="20"/>
  <c r="E90" i="20"/>
  <c r="D86" i="20"/>
  <c r="D89" i="20"/>
  <c r="E89" i="20"/>
  <c r="D90" i="20"/>
  <c r="D87" i="20"/>
  <c r="E88" i="20"/>
  <c r="F89" i="20"/>
  <c r="F87" i="20"/>
  <c r="F90" i="20"/>
  <c r="F88" i="20"/>
  <c r="C96" i="20"/>
  <c r="K31" i="20"/>
  <c r="K22" i="20"/>
  <c r="P14" i="20"/>
  <c r="C76" i="20"/>
  <c r="J3" i="1" l="1"/>
  <c r="K2" i="1"/>
  <c r="J7" i="1"/>
  <c r="P16" i="20"/>
  <c r="L2" i="1" l="1"/>
  <c r="K7" i="1"/>
  <c r="K3" i="1"/>
  <c r="B5" i="7"/>
  <c r="B4" i="7"/>
  <c r="B3" i="7"/>
  <c r="B2" i="7"/>
  <c r="B11" i="6"/>
  <c r="B9" i="6"/>
  <c r="B6" i="6"/>
  <c r="B5" i="6"/>
  <c r="L3" i="1" l="1"/>
  <c r="M2" i="1"/>
  <c r="L7" i="1"/>
  <c r="D18" i="5"/>
  <c r="M18" i="5"/>
  <c r="E18" i="5"/>
  <c r="I18" i="5"/>
  <c r="F18" i="5"/>
  <c r="G18" i="5"/>
  <c r="H18" i="5"/>
  <c r="J18" i="5"/>
  <c r="K18" i="5"/>
  <c r="L18" i="5"/>
  <c r="N18" i="5"/>
  <c r="C18" i="5"/>
  <c r="D4" i="16"/>
  <c r="D7" i="16" s="1"/>
  <c r="C7" i="16"/>
  <c r="C12" i="16"/>
  <c r="D12" i="16"/>
  <c r="E12" i="16"/>
  <c r="F12" i="16"/>
  <c r="G12" i="16"/>
  <c r="H12" i="16"/>
  <c r="I12" i="16"/>
  <c r="J12" i="16"/>
  <c r="K12" i="16"/>
  <c r="L12" i="16"/>
  <c r="M12" i="16"/>
  <c r="N12" i="16"/>
  <c r="M7" i="1" l="1"/>
  <c r="N7" i="1"/>
  <c r="M3" i="1"/>
  <c r="N3" i="1" s="1"/>
  <c r="C18" i="16"/>
  <c r="D18" i="16"/>
  <c r="E4" i="16"/>
  <c r="F4" i="16" s="1"/>
  <c r="G4" i="16" s="1"/>
  <c r="E7" i="16" l="1"/>
  <c r="E18" i="16" s="1"/>
  <c r="F7" i="16"/>
  <c r="F18" i="16" s="1"/>
  <c r="H4" i="16"/>
  <c r="G7" i="16"/>
  <c r="G18" i="16" s="1"/>
  <c r="I4" i="16" l="1"/>
  <c r="H7" i="16"/>
  <c r="H18" i="16" s="1"/>
  <c r="I7" i="16" l="1"/>
  <c r="I18" i="16" s="1"/>
  <c r="J4" i="16"/>
  <c r="J7" i="16" l="1"/>
  <c r="J18" i="16" s="1"/>
  <c r="K4" i="16"/>
  <c r="K7" i="16" l="1"/>
  <c r="K18" i="16" s="1"/>
  <c r="L4" i="16"/>
  <c r="L7" i="16" l="1"/>
  <c r="L18" i="16" s="1"/>
  <c r="M4" i="16"/>
  <c r="N4" i="16" l="1"/>
  <c r="N7" i="16" s="1"/>
  <c r="N18" i="16" s="1"/>
  <c r="M7" i="16"/>
  <c r="M18" i="16" s="1"/>
  <c r="B13" i="7" l="1"/>
  <c r="E7" i="5" l="1"/>
  <c r="C7" i="5"/>
  <c r="C10" i="5" s="1"/>
  <c r="F7" i="5"/>
  <c r="H7" i="5"/>
  <c r="J7" i="5"/>
  <c r="K7" i="5"/>
  <c r="N7" i="5"/>
  <c r="G7" i="5"/>
  <c r="I7" i="5"/>
  <c r="L7" i="5"/>
  <c r="M7" i="5"/>
  <c r="D7" i="5"/>
  <c r="F55" i="17" l="1"/>
  <c r="F56" i="17" s="1"/>
  <c r="B56" i="17"/>
  <c r="G28" i="20" l="1"/>
  <c r="D70" i="5" l="1"/>
  <c r="D71" i="5" s="1"/>
  <c r="E70" i="5"/>
  <c r="E71" i="5" s="1"/>
  <c r="F70" i="5"/>
  <c r="F71" i="5" s="1"/>
  <c r="G70" i="5"/>
  <c r="G71" i="5" s="1"/>
  <c r="H70" i="5"/>
  <c r="H71" i="5" s="1"/>
  <c r="I70" i="5"/>
  <c r="I71" i="5" s="1"/>
  <c r="J70" i="5"/>
  <c r="J71" i="5" s="1"/>
  <c r="K70" i="5"/>
  <c r="K71" i="5" s="1"/>
  <c r="L70" i="5"/>
  <c r="L71" i="5" s="1"/>
  <c r="M70" i="5"/>
  <c r="M71" i="5" s="1"/>
  <c r="N70" i="5"/>
  <c r="N71" i="5" s="1"/>
  <c r="C70" i="5"/>
  <c r="C71" i="5" s="1"/>
  <c r="D58" i="5"/>
  <c r="E58" i="5"/>
  <c r="F58" i="5"/>
  <c r="G58" i="5"/>
  <c r="H58" i="5"/>
  <c r="I58" i="5"/>
  <c r="J58" i="5"/>
  <c r="K58" i="5"/>
  <c r="L58" i="5"/>
  <c r="M58" i="5"/>
  <c r="N58" i="5"/>
  <c r="N59" i="5" s="1"/>
  <c r="C58" i="5"/>
  <c r="C59" i="5" s="1"/>
  <c r="C60" i="5" s="1"/>
  <c r="D51" i="5"/>
  <c r="E51" i="5"/>
  <c r="F51" i="5"/>
  <c r="G51" i="5"/>
  <c r="H51" i="5"/>
  <c r="I51" i="5"/>
  <c r="J51" i="5"/>
  <c r="K51" i="5"/>
  <c r="L51" i="5"/>
  <c r="M51" i="5"/>
  <c r="N51" i="5"/>
  <c r="C51" i="5"/>
  <c r="D50" i="5"/>
  <c r="E50" i="5"/>
  <c r="F50" i="5"/>
  <c r="G50" i="5"/>
  <c r="H50" i="5"/>
  <c r="I50" i="5"/>
  <c r="J50" i="5"/>
  <c r="K50" i="5"/>
  <c r="L50" i="5"/>
  <c r="M50" i="5"/>
  <c r="N50" i="5"/>
  <c r="C50" i="5"/>
  <c r="D43" i="5"/>
  <c r="E43" i="5"/>
  <c r="F43" i="5"/>
  <c r="G43" i="5"/>
  <c r="H43" i="5"/>
  <c r="I43" i="5"/>
  <c r="J43" i="5"/>
  <c r="K43" i="5"/>
  <c r="L43" i="5"/>
  <c r="M43" i="5"/>
  <c r="N43" i="5"/>
  <c r="C43" i="5"/>
  <c r="D42" i="5"/>
  <c r="E42" i="5"/>
  <c r="F42" i="5"/>
  <c r="G42" i="5"/>
  <c r="H42" i="5"/>
  <c r="I42" i="5"/>
  <c r="J42" i="5"/>
  <c r="K42" i="5"/>
  <c r="L42" i="5"/>
  <c r="M42" i="5"/>
  <c r="N42" i="5"/>
  <c r="C42" i="5"/>
  <c r="D35" i="5"/>
  <c r="E35" i="5"/>
  <c r="F35" i="5"/>
  <c r="G35" i="5"/>
  <c r="H35" i="5"/>
  <c r="I35" i="5"/>
  <c r="J35" i="5"/>
  <c r="K35" i="5"/>
  <c r="L35" i="5"/>
  <c r="M35" i="5"/>
  <c r="N35" i="5"/>
  <c r="C35" i="5"/>
  <c r="D34" i="5"/>
  <c r="E34" i="5"/>
  <c r="F34" i="5"/>
  <c r="G34" i="5"/>
  <c r="H34" i="5"/>
  <c r="I34" i="5"/>
  <c r="J34" i="5"/>
  <c r="K34" i="5"/>
  <c r="L34" i="5"/>
  <c r="M34" i="5"/>
  <c r="N34" i="5"/>
  <c r="C34" i="5"/>
  <c r="D27" i="5"/>
  <c r="E27" i="5"/>
  <c r="F27" i="5"/>
  <c r="G27" i="5"/>
  <c r="H27" i="5"/>
  <c r="I27" i="5"/>
  <c r="J27" i="5"/>
  <c r="K27" i="5"/>
  <c r="L27" i="5"/>
  <c r="M27" i="5"/>
  <c r="N27" i="5"/>
  <c r="C27" i="5"/>
  <c r="D26" i="5"/>
  <c r="E26" i="5"/>
  <c r="F26" i="5"/>
  <c r="G26" i="5"/>
  <c r="H26" i="5"/>
  <c r="I26" i="5"/>
  <c r="J26" i="5"/>
  <c r="K26" i="5"/>
  <c r="L26" i="5"/>
  <c r="M26" i="5"/>
  <c r="N26" i="5"/>
  <c r="C26" i="5"/>
  <c r="D16" i="5"/>
  <c r="E16" i="5"/>
  <c r="F16" i="5"/>
  <c r="G16" i="5"/>
  <c r="H16" i="5"/>
  <c r="I16" i="5"/>
  <c r="J16" i="5"/>
  <c r="K16" i="5"/>
  <c r="L16" i="5"/>
  <c r="M16" i="5"/>
  <c r="N16" i="5"/>
  <c r="C16" i="5"/>
  <c r="D15" i="5"/>
  <c r="E15" i="5"/>
  <c r="F15" i="5"/>
  <c r="G15" i="5"/>
  <c r="H15" i="5"/>
  <c r="I15" i="5"/>
  <c r="J15" i="5"/>
  <c r="K15" i="5"/>
  <c r="L15" i="5"/>
  <c r="M15" i="5"/>
  <c r="N15" i="5"/>
  <c r="C15" i="5"/>
  <c r="E14" i="5"/>
  <c r="F14" i="5"/>
  <c r="G14" i="5"/>
  <c r="H14" i="5"/>
  <c r="I14" i="5"/>
  <c r="J14" i="5"/>
  <c r="K14" i="5"/>
  <c r="L14" i="5"/>
  <c r="M14" i="5"/>
  <c r="N14" i="5"/>
  <c r="D14" i="5"/>
  <c r="C14" i="5"/>
  <c r="C15" i="1"/>
  <c r="D72" i="5"/>
  <c r="D75" i="5" s="1"/>
  <c r="E72" i="5"/>
  <c r="E75" i="5" s="1"/>
  <c r="F72" i="5"/>
  <c r="F75" i="5" s="1"/>
  <c r="G72" i="5"/>
  <c r="G75" i="5" s="1"/>
  <c r="H72" i="5"/>
  <c r="H75" i="5" s="1"/>
  <c r="I72" i="5"/>
  <c r="I75" i="5" s="1"/>
  <c r="J72" i="5"/>
  <c r="J75" i="5" s="1"/>
  <c r="K72" i="5"/>
  <c r="K75" i="5" s="1"/>
  <c r="L72" i="5"/>
  <c r="L75" i="5" s="1"/>
  <c r="M72" i="5"/>
  <c r="M75" i="5" s="1"/>
  <c r="N72" i="5"/>
  <c r="N75" i="5" s="1"/>
  <c r="C75" i="5"/>
  <c r="D61" i="5"/>
  <c r="E61" i="5"/>
  <c r="F61" i="5"/>
  <c r="G61" i="5"/>
  <c r="H61" i="5"/>
  <c r="I61" i="5"/>
  <c r="J61" i="5"/>
  <c r="K61" i="5"/>
  <c r="L61" i="5"/>
  <c r="M61" i="5"/>
  <c r="N61" i="5"/>
  <c r="C61" i="5"/>
  <c r="D52" i="5"/>
  <c r="E52" i="5"/>
  <c r="F52" i="5"/>
  <c r="G52" i="5"/>
  <c r="H52" i="5"/>
  <c r="I52" i="5"/>
  <c r="J52" i="5"/>
  <c r="K52" i="5"/>
  <c r="L52" i="5"/>
  <c r="M52" i="5"/>
  <c r="N52" i="5"/>
  <c r="C52" i="5"/>
  <c r="D44" i="5"/>
  <c r="E44" i="5"/>
  <c r="F44" i="5"/>
  <c r="G44" i="5"/>
  <c r="H44" i="5"/>
  <c r="I44" i="5"/>
  <c r="J44" i="5"/>
  <c r="K44" i="5"/>
  <c r="L44" i="5"/>
  <c r="M44" i="5"/>
  <c r="N44" i="5"/>
  <c r="C44" i="5"/>
  <c r="D36" i="5"/>
  <c r="E36" i="5"/>
  <c r="F36" i="5"/>
  <c r="G36" i="5"/>
  <c r="H36" i="5"/>
  <c r="I36" i="5"/>
  <c r="J36" i="5"/>
  <c r="K36" i="5"/>
  <c r="L36" i="5"/>
  <c r="M36" i="5"/>
  <c r="N36" i="5"/>
  <c r="C36" i="5"/>
  <c r="D28" i="5"/>
  <c r="E28" i="5"/>
  <c r="F28" i="5"/>
  <c r="G28" i="5"/>
  <c r="H28" i="5"/>
  <c r="I28" i="5"/>
  <c r="J28" i="5"/>
  <c r="K28" i="5"/>
  <c r="L28" i="5"/>
  <c r="M28" i="5"/>
  <c r="N28" i="5"/>
  <c r="C28" i="5"/>
  <c r="D20" i="5"/>
  <c r="E20" i="5"/>
  <c r="F20" i="5"/>
  <c r="G20" i="5"/>
  <c r="H20" i="5"/>
  <c r="I20" i="5"/>
  <c r="J20" i="5"/>
  <c r="K20" i="5"/>
  <c r="L20" i="5"/>
  <c r="M20" i="5"/>
  <c r="N20" i="5"/>
  <c r="C20" i="5"/>
  <c r="C29" i="5" l="1"/>
  <c r="C70" i="1" l="1"/>
  <c r="C73" i="1" s="1"/>
  <c r="E70" i="1"/>
  <c r="E73" i="1" s="1"/>
  <c r="F70" i="1"/>
  <c r="F73" i="1" s="1"/>
  <c r="G70" i="1"/>
  <c r="G73" i="1" s="1"/>
  <c r="H70" i="1"/>
  <c r="H73" i="1" s="1"/>
  <c r="I70" i="1"/>
  <c r="I73" i="1" s="1"/>
  <c r="J70" i="1"/>
  <c r="J73" i="1" s="1"/>
  <c r="K70" i="1"/>
  <c r="K73" i="1" s="1"/>
  <c r="L70" i="1"/>
  <c r="L73" i="1" s="1"/>
  <c r="M70" i="1"/>
  <c r="M73" i="1" s="1"/>
  <c r="N70" i="1"/>
  <c r="N73" i="1" s="1"/>
  <c r="D70" i="1"/>
  <c r="D73" i="1" s="1"/>
  <c r="C60" i="1"/>
  <c r="E60" i="1"/>
  <c r="F60" i="1"/>
  <c r="G60" i="1"/>
  <c r="H60" i="1"/>
  <c r="I60" i="1"/>
  <c r="J60" i="1"/>
  <c r="K60" i="1"/>
  <c r="L60" i="1"/>
  <c r="M60" i="1"/>
  <c r="N60" i="1"/>
  <c r="D60" i="1"/>
  <c r="C52" i="1"/>
  <c r="E52" i="1"/>
  <c r="F52" i="1"/>
  <c r="G52" i="1"/>
  <c r="H52" i="1"/>
  <c r="I52" i="1"/>
  <c r="J52" i="1"/>
  <c r="K52" i="1"/>
  <c r="L52" i="1"/>
  <c r="M52" i="1"/>
  <c r="N52" i="1"/>
  <c r="D52" i="1"/>
  <c r="C44" i="1"/>
  <c r="E44" i="1"/>
  <c r="F44" i="1"/>
  <c r="G44" i="1"/>
  <c r="H44" i="1"/>
  <c r="I44" i="1"/>
  <c r="J44" i="1"/>
  <c r="K44" i="1"/>
  <c r="L44" i="1"/>
  <c r="M44" i="1"/>
  <c r="N44" i="1"/>
  <c r="D44" i="1"/>
  <c r="C36" i="1"/>
  <c r="C37" i="1" s="1"/>
  <c r="E36" i="1"/>
  <c r="F36" i="1"/>
  <c r="G36" i="1"/>
  <c r="H36" i="1"/>
  <c r="I36" i="1"/>
  <c r="J36" i="1"/>
  <c r="K36" i="1"/>
  <c r="L36" i="1"/>
  <c r="M36" i="1"/>
  <c r="N36" i="1"/>
  <c r="D36" i="1"/>
  <c r="C35" i="1"/>
  <c r="C26" i="1"/>
  <c r="C27" i="1" s="1"/>
  <c r="C28" i="1" s="1"/>
  <c r="E26" i="1"/>
  <c r="F26" i="1"/>
  <c r="G26" i="1"/>
  <c r="H26" i="1"/>
  <c r="I26" i="1"/>
  <c r="J26" i="1"/>
  <c r="K26" i="1"/>
  <c r="L26" i="1"/>
  <c r="M26" i="1"/>
  <c r="N26" i="1"/>
  <c r="D26" i="1"/>
  <c r="C18" i="1"/>
  <c r="E18" i="1"/>
  <c r="F18" i="1"/>
  <c r="G18" i="1"/>
  <c r="H18" i="1"/>
  <c r="I18" i="1"/>
  <c r="J18" i="1"/>
  <c r="K18" i="1"/>
  <c r="L18" i="1"/>
  <c r="M18" i="1"/>
  <c r="N18" i="1"/>
  <c r="D18" i="1"/>
  <c r="E6" i="1"/>
  <c r="F6" i="1"/>
  <c r="G6" i="1"/>
  <c r="H6" i="1"/>
  <c r="I6" i="1"/>
  <c r="J6" i="1"/>
  <c r="K6" i="1"/>
  <c r="L6" i="1"/>
  <c r="M6" i="1"/>
  <c r="N6" i="1"/>
  <c r="D6" i="1"/>
  <c r="D8" i="1" s="1"/>
  <c r="D9" i="1" s="1"/>
  <c r="C6" i="1"/>
  <c r="C8" i="1" s="1"/>
  <c r="C9" i="1" s="1"/>
  <c r="E16" i="1"/>
  <c r="F16" i="1"/>
  <c r="G16" i="1"/>
  <c r="H16" i="1"/>
  <c r="I16" i="1"/>
  <c r="J16" i="1"/>
  <c r="K16" i="1"/>
  <c r="L16" i="1"/>
  <c r="M16" i="1"/>
  <c r="N16" i="1"/>
  <c r="D16" i="1"/>
  <c r="D17" i="1" s="1"/>
  <c r="C16" i="1"/>
  <c r="C19" i="5"/>
  <c r="E61" i="1" l="1"/>
  <c r="F61" i="1"/>
  <c r="G61" i="1"/>
  <c r="H61" i="1"/>
  <c r="I61" i="1"/>
  <c r="J61" i="1"/>
  <c r="K61" i="1"/>
  <c r="L61" i="1"/>
  <c r="M61" i="1"/>
  <c r="N61" i="1"/>
  <c r="D61" i="1"/>
  <c r="B12" i="23" s="1"/>
  <c r="C61" i="1"/>
  <c r="D37" i="5"/>
  <c r="D38" i="5" s="1"/>
  <c r="B20" i="23" s="1"/>
  <c r="E37" i="5"/>
  <c r="E38" i="5" s="1"/>
  <c r="F37" i="5"/>
  <c r="F38" i="5" s="1"/>
  <c r="G37" i="5"/>
  <c r="G38" i="5" s="1"/>
  <c r="H37" i="5"/>
  <c r="H38" i="5" s="1"/>
  <c r="I37" i="5"/>
  <c r="I38" i="5" s="1"/>
  <c r="J37" i="5"/>
  <c r="J38" i="5" s="1"/>
  <c r="K37" i="5"/>
  <c r="K38" i="5" s="1"/>
  <c r="L37" i="5"/>
  <c r="L38" i="5" s="1"/>
  <c r="M37" i="5"/>
  <c r="M38" i="5" s="1"/>
  <c r="N37" i="5"/>
  <c r="N38" i="5" s="1"/>
  <c r="N39" i="5" s="1"/>
  <c r="D45" i="5"/>
  <c r="D46" i="5" s="1"/>
  <c r="B21" i="23" s="1"/>
  <c r="E45" i="5"/>
  <c r="E46" i="5" s="1"/>
  <c r="F45" i="5"/>
  <c r="F46" i="5" s="1"/>
  <c r="G45" i="5"/>
  <c r="G46" i="5" s="1"/>
  <c r="H45" i="5"/>
  <c r="H46" i="5" s="1"/>
  <c r="I45" i="5"/>
  <c r="I46" i="5" s="1"/>
  <c r="J45" i="5"/>
  <c r="J46" i="5" s="1"/>
  <c r="K45" i="5"/>
  <c r="K46" i="5" s="1"/>
  <c r="L45" i="5"/>
  <c r="L46" i="5" s="1"/>
  <c r="M45" i="5"/>
  <c r="M46" i="5" s="1"/>
  <c r="N45" i="5"/>
  <c r="N46" i="5" s="1"/>
  <c r="N47" i="5" s="1"/>
  <c r="D53" i="5"/>
  <c r="D54" i="5" s="1"/>
  <c r="B22" i="23" s="1"/>
  <c r="E53" i="5"/>
  <c r="E54" i="5" s="1"/>
  <c r="F53" i="5"/>
  <c r="F54" i="5" s="1"/>
  <c r="G53" i="5"/>
  <c r="G54" i="5" s="1"/>
  <c r="H53" i="5"/>
  <c r="H54" i="5" s="1"/>
  <c r="I53" i="5"/>
  <c r="I54" i="5" s="1"/>
  <c r="J53" i="5"/>
  <c r="J54" i="5" s="1"/>
  <c r="K53" i="5"/>
  <c r="K54" i="5" s="1"/>
  <c r="L53" i="5"/>
  <c r="L54" i="5" s="1"/>
  <c r="M53" i="5"/>
  <c r="M54" i="5" s="1"/>
  <c r="N53" i="5"/>
  <c r="N54" i="5" s="1"/>
  <c r="N55" i="5" s="1"/>
  <c r="N67" i="5"/>
  <c r="N68" i="5"/>
  <c r="C68" i="5"/>
  <c r="C67" i="5"/>
  <c r="D17" i="5"/>
  <c r="D21" i="5" s="1"/>
  <c r="E17" i="5"/>
  <c r="E21" i="5" s="1"/>
  <c r="F17" i="5"/>
  <c r="F21" i="5" s="1"/>
  <c r="G17" i="5"/>
  <c r="G21" i="5" s="1"/>
  <c r="H17" i="5"/>
  <c r="H21" i="5" s="1"/>
  <c r="I17" i="5"/>
  <c r="I21" i="5" s="1"/>
  <c r="J17" i="5"/>
  <c r="J21" i="5" s="1"/>
  <c r="K17" i="5"/>
  <c r="K21" i="5" s="1"/>
  <c r="L17" i="5"/>
  <c r="L21" i="5" s="1"/>
  <c r="M17" i="5"/>
  <c r="M21" i="5" s="1"/>
  <c r="N17" i="5"/>
  <c r="N21" i="5" s="1"/>
  <c r="D19" i="5"/>
  <c r="E19" i="5"/>
  <c r="F19" i="5"/>
  <c r="G19" i="5"/>
  <c r="H19" i="5"/>
  <c r="I19" i="5"/>
  <c r="J19" i="5"/>
  <c r="K19" i="5"/>
  <c r="L19" i="5"/>
  <c r="M19" i="5"/>
  <c r="N19" i="5"/>
  <c r="E10" i="5"/>
  <c r="F10" i="5"/>
  <c r="G10" i="5"/>
  <c r="H10" i="5"/>
  <c r="I10" i="5"/>
  <c r="J10" i="5"/>
  <c r="K10" i="5"/>
  <c r="L10" i="5"/>
  <c r="M10" i="5"/>
  <c r="N10" i="5"/>
  <c r="D10" i="5"/>
  <c r="C6" i="5"/>
  <c r="C11" i="5" s="1"/>
  <c r="D2" i="5"/>
  <c r="D3" i="5" s="1"/>
  <c r="C53" i="5"/>
  <c r="C54" i="5" s="1"/>
  <c r="C55" i="5" s="1"/>
  <c r="C45" i="5"/>
  <c r="C46" i="5" s="1"/>
  <c r="C47" i="5" s="1"/>
  <c r="C37" i="5"/>
  <c r="C38" i="5" s="1"/>
  <c r="C39" i="5" s="1"/>
  <c r="N29" i="5"/>
  <c r="N30" i="5" s="1"/>
  <c r="N31" i="5" s="1"/>
  <c r="M29" i="5"/>
  <c r="M30" i="5" s="1"/>
  <c r="L29" i="5"/>
  <c r="L30" i="5" s="1"/>
  <c r="K29" i="5"/>
  <c r="K30" i="5" s="1"/>
  <c r="J29" i="5"/>
  <c r="J30" i="5" s="1"/>
  <c r="I29" i="5"/>
  <c r="I30" i="5" s="1"/>
  <c r="H29" i="5"/>
  <c r="H30" i="5" s="1"/>
  <c r="G29" i="5"/>
  <c r="G30" i="5" s="1"/>
  <c r="F29" i="5"/>
  <c r="F30" i="5" s="1"/>
  <c r="E29" i="5"/>
  <c r="E30" i="5" s="1"/>
  <c r="D29" i="5"/>
  <c r="D30" i="5" s="1"/>
  <c r="B19" i="23" s="1"/>
  <c r="C30" i="5"/>
  <c r="C31" i="5" s="1"/>
  <c r="C17" i="5"/>
  <c r="C21" i="5" s="1"/>
  <c r="E8" i="1"/>
  <c r="F8" i="1"/>
  <c r="G8" i="1"/>
  <c r="H8" i="1"/>
  <c r="I8" i="1"/>
  <c r="J8" i="1"/>
  <c r="K8" i="1"/>
  <c r="L8" i="1"/>
  <c r="M8" i="1"/>
  <c r="N8" i="1"/>
  <c r="N69" i="1"/>
  <c r="M69" i="1"/>
  <c r="L69" i="1"/>
  <c r="K69" i="1"/>
  <c r="J69" i="1"/>
  <c r="I69" i="1"/>
  <c r="H69" i="1"/>
  <c r="G69" i="1"/>
  <c r="F69" i="1"/>
  <c r="E69" i="1"/>
  <c r="D69" i="1"/>
  <c r="C69" i="1"/>
  <c r="N66" i="1"/>
  <c r="C66" i="1"/>
  <c r="N65" i="1"/>
  <c r="N59" i="1"/>
  <c r="C59" i="1"/>
  <c r="N53" i="1"/>
  <c r="N54" i="1" s="1"/>
  <c r="N55" i="1" s="1"/>
  <c r="M53" i="1"/>
  <c r="M54" i="1" s="1"/>
  <c r="L53" i="1"/>
  <c r="L54" i="1" s="1"/>
  <c r="K53" i="1"/>
  <c r="K54" i="1" s="1"/>
  <c r="J53" i="1"/>
  <c r="J54" i="1" s="1"/>
  <c r="I53" i="1"/>
  <c r="I54" i="1" s="1"/>
  <c r="H53" i="1"/>
  <c r="H54" i="1" s="1"/>
  <c r="G53" i="1"/>
  <c r="G54" i="1" s="1"/>
  <c r="F53" i="1"/>
  <c r="F54" i="1" s="1"/>
  <c r="E53" i="1"/>
  <c r="E54" i="1" s="1"/>
  <c r="D53" i="1"/>
  <c r="D54" i="1" s="1"/>
  <c r="B11" i="23" s="1"/>
  <c r="C53" i="1"/>
  <c r="C54" i="1" s="1"/>
  <c r="N45" i="1"/>
  <c r="N46" i="1" s="1"/>
  <c r="N47" i="1" s="1"/>
  <c r="M45" i="1"/>
  <c r="M46" i="1" s="1"/>
  <c r="L45" i="1"/>
  <c r="L46" i="1" s="1"/>
  <c r="K45" i="1"/>
  <c r="K46" i="1" s="1"/>
  <c r="J45" i="1"/>
  <c r="J46" i="1" s="1"/>
  <c r="I45" i="1"/>
  <c r="I46" i="1" s="1"/>
  <c r="H45" i="1"/>
  <c r="H46" i="1" s="1"/>
  <c r="G45" i="1"/>
  <c r="G46" i="1" s="1"/>
  <c r="F45" i="1"/>
  <c r="F46" i="1" s="1"/>
  <c r="E45" i="1"/>
  <c r="E46" i="1" s="1"/>
  <c r="D45" i="1"/>
  <c r="D46" i="1" s="1"/>
  <c r="B10" i="23" s="1"/>
  <c r="C45" i="1"/>
  <c r="C46" i="1" s="1"/>
  <c r="C47" i="1" s="1"/>
  <c r="N37" i="1"/>
  <c r="M37" i="1"/>
  <c r="L37" i="1"/>
  <c r="K37" i="1"/>
  <c r="J37" i="1"/>
  <c r="I37" i="1"/>
  <c r="H37" i="1"/>
  <c r="G37" i="1"/>
  <c r="F37" i="1"/>
  <c r="E37" i="1"/>
  <c r="D37" i="1"/>
  <c r="N35" i="1"/>
  <c r="M35" i="1"/>
  <c r="L35" i="1"/>
  <c r="K35" i="1"/>
  <c r="J35" i="1"/>
  <c r="I35" i="1"/>
  <c r="H35" i="1"/>
  <c r="G35" i="1"/>
  <c r="F35" i="1"/>
  <c r="E35" i="1"/>
  <c r="D35" i="1"/>
  <c r="N27" i="1"/>
  <c r="N28" i="1" s="1"/>
  <c r="N29" i="1" s="1"/>
  <c r="M27" i="1"/>
  <c r="M28" i="1" s="1"/>
  <c r="L27" i="1"/>
  <c r="L28" i="1" s="1"/>
  <c r="K27" i="1"/>
  <c r="K28" i="1" s="1"/>
  <c r="J27" i="1"/>
  <c r="J28" i="1" s="1"/>
  <c r="I27" i="1"/>
  <c r="I28" i="1" s="1"/>
  <c r="H27" i="1"/>
  <c r="H28" i="1" s="1"/>
  <c r="G27" i="1"/>
  <c r="G28" i="1" s="1"/>
  <c r="F27" i="1"/>
  <c r="F28" i="1" s="1"/>
  <c r="E27" i="1"/>
  <c r="E28" i="1" s="1"/>
  <c r="D27" i="1"/>
  <c r="D28" i="1" s="1"/>
  <c r="B8" i="23" s="1"/>
  <c r="C29" i="1"/>
  <c r="N17" i="1"/>
  <c r="M17" i="1"/>
  <c r="L17" i="1"/>
  <c r="K17" i="1"/>
  <c r="J17" i="1"/>
  <c r="I17" i="1"/>
  <c r="H17" i="1"/>
  <c r="G17" i="1"/>
  <c r="F17" i="1"/>
  <c r="E17" i="1"/>
  <c r="C17" i="1"/>
  <c r="N15" i="1"/>
  <c r="N19" i="1" s="1"/>
  <c r="M15" i="1"/>
  <c r="M19" i="1" s="1"/>
  <c r="L15" i="1"/>
  <c r="L19" i="1" s="1"/>
  <c r="K15" i="1"/>
  <c r="K19" i="1" s="1"/>
  <c r="J15" i="1"/>
  <c r="J19" i="1" s="1"/>
  <c r="I15" i="1"/>
  <c r="I19" i="1" s="1"/>
  <c r="H15" i="1"/>
  <c r="H19" i="1" s="1"/>
  <c r="G15" i="1"/>
  <c r="G19" i="1" s="1"/>
  <c r="F15" i="1"/>
  <c r="F19" i="1" s="1"/>
  <c r="E15" i="1"/>
  <c r="E19" i="1" s="1"/>
  <c r="D15" i="1"/>
  <c r="D19" i="1" s="1"/>
  <c r="C19" i="1"/>
  <c r="C55" i="1" l="1"/>
  <c r="C11" i="23"/>
  <c r="C8" i="23"/>
  <c r="C12" i="23"/>
  <c r="C10" i="23"/>
  <c r="C20" i="1"/>
  <c r="I29" i="1"/>
  <c r="E2" i="5"/>
  <c r="E67" i="5" s="1"/>
  <c r="D59" i="5"/>
  <c r="D60" i="5" s="1"/>
  <c r="N69" i="5"/>
  <c r="D47" i="5"/>
  <c r="D68" i="5"/>
  <c r="D55" i="5"/>
  <c r="D31" i="5"/>
  <c r="D39" i="5"/>
  <c r="D67" i="5"/>
  <c r="J22" i="5"/>
  <c r="J23" i="5" s="1"/>
  <c r="M22" i="5"/>
  <c r="M23" i="5" s="1"/>
  <c r="G22" i="5"/>
  <c r="G23" i="5" s="1"/>
  <c r="D22" i="5"/>
  <c r="L22" i="5"/>
  <c r="L23" i="5" s="1"/>
  <c r="E22" i="5"/>
  <c r="E23" i="5" s="1"/>
  <c r="H22" i="5"/>
  <c r="H23" i="5" s="1"/>
  <c r="K22" i="5"/>
  <c r="K23" i="5" s="1"/>
  <c r="N22" i="5"/>
  <c r="N23" i="5" s="1"/>
  <c r="F22" i="5"/>
  <c r="F23" i="5" s="1"/>
  <c r="I22" i="5"/>
  <c r="I23" i="5" s="1"/>
  <c r="D6" i="5"/>
  <c r="D11" i="5" s="1"/>
  <c r="D59" i="1"/>
  <c r="C69" i="5"/>
  <c r="C22" i="5"/>
  <c r="D38" i="1"/>
  <c r="E38" i="1"/>
  <c r="M38" i="1"/>
  <c r="L38" i="1"/>
  <c r="F38" i="1"/>
  <c r="N38" i="1"/>
  <c r="N39" i="1" s="1"/>
  <c r="D47" i="1"/>
  <c r="G38" i="1"/>
  <c r="J38" i="1"/>
  <c r="D29" i="1"/>
  <c r="C38" i="1"/>
  <c r="K38" i="1"/>
  <c r="D66" i="1"/>
  <c r="E20" i="1"/>
  <c r="M20" i="1"/>
  <c r="F20" i="1"/>
  <c r="N20" i="1"/>
  <c r="H38" i="1"/>
  <c r="D55" i="1"/>
  <c r="G20" i="1"/>
  <c r="I38" i="1"/>
  <c r="D20" i="1"/>
  <c r="D21" i="1" s="1"/>
  <c r="L20" i="1"/>
  <c r="C67" i="1"/>
  <c r="C71" i="1" s="1"/>
  <c r="C74" i="1" s="1"/>
  <c r="I20" i="1"/>
  <c r="J20" i="1"/>
  <c r="K20" i="1"/>
  <c r="H20" i="1"/>
  <c r="E9" i="1"/>
  <c r="D65" i="1"/>
  <c r="H77" i="1" l="1"/>
  <c r="B9" i="7"/>
  <c r="C62" i="5" s="1"/>
  <c r="B25" i="17"/>
  <c r="B18" i="23"/>
  <c r="B26" i="23" s="1"/>
  <c r="D23" i="5"/>
  <c r="E47" i="5"/>
  <c r="E3" i="5"/>
  <c r="E55" i="5"/>
  <c r="E68" i="5"/>
  <c r="E69" i="5" s="1"/>
  <c r="E31" i="5"/>
  <c r="F2" i="5"/>
  <c r="F68" i="5" s="1"/>
  <c r="E39" i="5"/>
  <c r="B38" i="17" s="1"/>
  <c r="D39" i="1"/>
  <c r="B9" i="23"/>
  <c r="D77" i="1"/>
  <c r="B7" i="23"/>
  <c r="G77" i="1"/>
  <c r="F77" i="1"/>
  <c r="N77" i="1"/>
  <c r="L77" i="1"/>
  <c r="K77" i="1"/>
  <c r="J77" i="1"/>
  <c r="I77" i="1"/>
  <c r="M77" i="1"/>
  <c r="C77" i="1"/>
  <c r="E77" i="1"/>
  <c r="B37" i="17"/>
  <c r="B39" i="17"/>
  <c r="C73" i="5"/>
  <c r="C76" i="5" s="1"/>
  <c r="C77" i="5" s="1"/>
  <c r="F47" i="5"/>
  <c r="F59" i="5"/>
  <c r="E6" i="5"/>
  <c r="E11" i="5" s="1"/>
  <c r="B35" i="17" s="1"/>
  <c r="E59" i="5"/>
  <c r="E60" i="5" s="1"/>
  <c r="C39" i="1"/>
  <c r="C75" i="1"/>
  <c r="C21" i="1"/>
  <c r="D69" i="5"/>
  <c r="C23" i="5"/>
  <c r="F67" i="5"/>
  <c r="F31" i="5"/>
  <c r="N21" i="1"/>
  <c r="D62" i="1"/>
  <c r="N62" i="1"/>
  <c r="D67" i="1"/>
  <c r="D71" i="1" s="1"/>
  <c r="D74" i="1" s="1"/>
  <c r="C62" i="1"/>
  <c r="E65" i="1"/>
  <c r="E59" i="1"/>
  <c r="E66" i="1"/>
  <c r="E55" i="1"/>
  <c r="B29" i="17" s="1"/>
  <c r="E47" i="1"/>
  <c r="E29" i="1"/>
  <c r="B27" i="17" s="1"/>
  <c r="E39" i="1"/>
  <c r="E21" i="1"/>
  <c r="B28" i="17" l="1"/>
  <c r="B72" i="17" s="1"/>
  <c r="B36" i="17"/>
  <c r="F6" i="5"/>
  <c r="F11" i="5" s="1"/>
  <c r="F55" i="5"/>
  <c r="F3" i="5"/>
  <c r="F39" i="5"/>
  <c r="G2" i="5"/>
  <c r="G59" i="5" s="1"/>
  <c r="C9" i="23"/>
  <c r="C7" i="23"/>
  <c r="B14" i="23"/>
  <c r="B26" i="17"/>
  <c r="B69" i="17"/>
  <c r="B71" i="17"/>
  <c r="B73" i="17"/>
  <c r="C81" i="5"/>
  <c r="D73" i="5"/>
  <c r="D76" i="5" s="1"/>
  <c r="D77" i="5" s="1"/>
  <c r="D81" i="5" s="1"/>
  <c r="C79" i="1"/>
  <c r="F60" i="5"/>
  <c r="G62" i="5"/>
  <c r="G63" i="5" s="1"/>
  <c r="G79" i="5" s="1"/>
  <c r="C63" i="5"/>
  <c r="C64" i="5" s="1"/>
  <c r="N62" i="5"/>
  <c r="N63" i="5" s="1"/>
  <c r="E62" i="5"/>
  <c r="H62" i="5"/>
  <c r="F62" i="5"/>
  <c r="I62" i="5"/>
  <c r="K62" i="5"/>
  <c r="M62" i="5"/>
  <c r="J62" i="5"/>
  <c r="D62" i="5"/>
  <c r="L62" i="5"/>
  <c r="D75" i="1"/>
  <c r="D79" i="1" s="1"/>
  <c r="F69" i="5"/>
  <c r="G6" i="5"/>
  <c r="G11" i="5" s="1"/>
  <c r="H2" i="5"/>
  <c r="H59" i="5" s="1"/>
  <c r="F9" i="1"/>
  <c r="F65" i="1"/>
  <c r="C78" i="1"/>
  <c r="D78" i="1"/>
  <c r="E62" i="1"/>
  <c r="E78" i="1" s="1"/>
  <c r="E67" i="1"/>
  <c r="E71" i="1" s="1"/>
  <c r="F59" i="1"/>
  <c r="F62" i="1" s="1"/>
  <c r="F66" i="1"/>
  <c r="F47" i="1"/>
  <c r="F29" i="1"/>
  <c r="F39" i="1"/>
  <c r="F21" i="1"/>
  <c r="F55" i="1"/>
  <c r="E73" i="5" l="1"/>
  <c r="E76" i="5" s="1"/>
  <c r="E77" i="5" s="1"/>
  <c r="E81" i="5" s="1"/>
  <c r="B28" i="23"/>
  <c r="G55" i="5"/>
  <c r="G47" i="5"/>
  <c r="G39" i="5"/>
  <c r="G68" i="5"/>
  <c r="G31" i="5"/>
  <c r="G3" i="5"/>
  <c r="H3" i="5" s="1"/>
  <c r="G60" i="5"/>
  <c r="H60" i="5" s="1"/>
  <c r="G67" i="5"/>
  <c r="C14" i="23"/>
  <c r="C28" i="23" s="1"/>
  <c r="B41" i="17"/>
  <c r="E74" i="1"/>
  <c r="E75" i="1" s="1"/>
  <c r="E79" i="1" s="1"/>
  <c r="E80" i="1" s="1"/>
  <c r="B70" i="17"/>
  <c r="C80" i="5"/>
  <c r="C82" i="5" s="1"/>
  <c r="C83" i="5" s="1"/>
  <c r="F73" i="5"/>
  <c r="F76" i="5" s="1"/>
  <c r="F77" i="5" s="1"/>
  <c r="C80" i="1"/>
  <c r="C81" i="1" s="1"/>
  <c r="B30" i="17"/>
  <c r="D80" i="1"/>
  <c r="N79" i="5"/>
  <c r="F63" i="5"/>
  <c r="F64" i="5" s="1"/>
  <c r="E63" i="5"/>
  <c r="E64" i="5" s="1"/>
  <c r="L63" i="5"/>
  <c r="H63" i="5"/>
  <c r="D63" i="5"/>
  <c r="D64" i="5" s="1"/>
  <c r="D80" i="5" s="1"/>
  <c r="M63" i="5"/>
  <c r="J63" i="5"/>
  <c r="K63" i="5"/>
  <c r="I63" i="5"/>
  <c r="C79" i="5"/>
  <c r="H67" i="5"/>
  <c r="H68" i="5"/>
  <c r="H47" i="5"/>
  <c r="H31" i="5"/>
  <c r="H39" i="5"/>
  <c r="H55" i="5"/>
  <c r="C39" i="17" s="1"/>
  <c r="C36" i="17"/>
  <c r="H6" i="5"/>
  <c r="I2" i="5"/>
  <c r="I59" i="5" s="1"/>
  <c r="F78" i="1"/>
  <c r="G9" i="1"/>
  <c r="H9" i="1"/>
  <c r="G65" i="1"/>
  <c r="G59" i="1"/>
  <c r="G62" i="1" s="1"/>
  <c r="G66" i="1"/>
  <c r="G47" i="1"/>
  <c r="G29" i="1"/>
  <c r="G55" i="1"/>
  <c r="G39" i="1"/>
  <c r="G21" i="1"/>
  <c r="F67" i="1"/>
  <c r="F71" i="1" s="1"/>
  <c r="C38" i="17" l="1"/>
  <c r="C37" i="17"/>
  <c r="G69" i="5"/>
  <c r="G73" i="5" s="1"/>
  <c r="G76" i="5" s="1"/>
  <c r="G77" i="5" s="1"/>
  <c r="G81" i="5" s="1"/>
  <c r="G64" i="5"/>
  <c r="G80" i="5" s="1"/>
  <c r="I60" i="5"/>
  <c r="I64" i="5" s="1"/>
  <c r="I3" i="5"/>
  <c r="H11" i="5"/>
  <c r="C35" i="17" s="1"/>
  <c r="H64" i="5"/>
  <c r="C25" i="17"/>
  <c r="F74" i="1"/>
  <c r="F75" i="1" s="1"/>
  <c r="B40" i="17"/>
  <c r="B42" i="17" s="1"/>
  <c r="F80" i="5"/>
  <c r="F81" i="5"/>
  <c r="B31" i="17"/>
  <c r="B32" i="17" s="1"/>
  <c r="D81" i="1"/>
  <c r="E81" i="1" s="1"/>
  <c r="F79" i="5"/>
  <c r="D82" i="5"/>
  <c r="D83" i="5" s="1"/>
  <c r="K79" i="5"/>
  <c r="D79" i="5"/>
  <c r="H79" i="5"/>
  <c r="I79" i="5"/>
  <c r="L79" i="5"/>
  <c r="J79" i="5"/>
  <c r="M79" i="5"/>
  <c r="E80" i="5"/>
  <c r="E79" i="5"/>
  <c r="I68" i="5"/>
  <c r="I67" i="5"/>
  <c r="I31" i="5"/>
  <c r="I55" i="5"/>
  <c r="I47" i="5"/>
  <c r="I39" i="5"/>
  <c r="H69" i="5"/>
  <c r="I6" i="5"/>
  <c r="I11" i="5" s="1"/>
  <c r="J2" i="5"/>
  <c r="J59" i="5" s="1"/>
  <c r="J60" i="5" s="1"/>
  <c r="G78" i="1"/>
  <c r="G67" i="1"/>
  <c r="G71" i="1" s="1"/>
  <c r="I9" i="1"/>
  <c r="H66" i="1"/>
  <c r="H65" i="1"/>
  <c r="H59" i="1"/>
  <c r="H62" i="1" s="1"/>
  <c r="C30" i="17" s="1"/>
  <c r="H55" i="1"/>
  <c r="C29" i="17" s="1"/>
  <c r="H39" i="1"/>
  <c r="C28" i="17" s="1"/>
  <c r="H47" i="1"/>
  <c r="H29" i="1"/>
  <c r="C27" i="17" s="1"/>
  <c r="H21" i="1"/>
  <c r="C26" i="17" s="1"/>
  <c r="G82" i="5" l="1"/>
  <c r="C40" i="17"/>
  <c r="C75" i="17" s="1"/>
  <c r="J3" i="5"/>
  <c r="C69" i="17"/>
  <c r="H80" i="5"/>
  <c r="F82" i="5"/>
  <c r="G74" i="1"/>
  <c r="G75" i="1" s="1"/>
  <c r="G79" i="1" s="1"/>
  <c r="G80" i="1" s="1"/>
  <c r="F79" i="1"/>
  <c r="F80" i="1" s="1"/>
  <c r="F81" i="1" s="1"/>
  <c r="C73" i="17"/>
  <c r="C71" i="17"/>
  <c r="C70" i="17"/>
  <c r="B76" i="17"/>
  <c r="B75" i="17"/>
  <c r="C72" i="17"/>
  <c r="H73" i="5"/>
  <c r="H76" i="5" s="1"/>
  <c r="H77" i="5" s="1"/>
  <c r="H81" i="5" s="1"/>
  <c r="E82" i="5"/>
  <c r="E83" i="5" s="1"/>
  <c r="J64" i="5"/>
  <c r="I69" i="5"/>
  <c r="J68" i="5"/>
  <c r="J67" i="5"/>
  <c r="J39" i="5"/>
  <c r="J31" i="5"/>
  <c r="J47" i="5"/>
  <c r="J55" i="5"/>
  <c r="J6" i="5"/>
  <c r="J11" i="5" s="1"/>
  <c r="K2" i="5"/>
  <c r="K59" i="5" s="1"/>
  <c r="I80" i="5"/>
  <c r="H67" i="1"/>
  <c r="H71" i="1" s="1"/>
  <c r="H78" i="1"/>
  <c r="I66" i="1"/>
  <c r="J9" i="1"/>
  <c r="I65" i="1"/>
  <c r="I59" i="1"/>
  <c r="I62" i="1" s="1"/>
  <c r="I47" i="1"/>
  <c r="I39" i="1"/>
  <c r="I55" i="1"/>
  <c r="I21" i="1"/>
  <c r="I73" i="5" l="1"/>
  <c r="I76" i="5" s="1"/>
  <c r="I77" i="5" s="1"/>
  <c r="K3" i="5"/>
  <c r="H82" i="5"/>
  <c r="F83" i="5"/>
  <c r="G83" i="5" s="1"/>
  <c r="B44" i="17"/>
  <c r="B58" i="17" s="1"/>
  <c r="B62" i="17" s="1"/>
  <c r="C41" i="17"/>
  <c r="C42" i="17" s="1"/>
  <c r="H74" i="1"/>
  <c r="H75" i="1" s="1"/>
  <c r="H79" i="1" s="1"/>
  <c r="H80" i="1" s="1"/>
  <c r="K60" i="5"/>
  <c r="K64" i="5" s="1"/>
  <c r="D40" i="17" s="1"/>
  <c r="J69" i="5"/>
  <c r="G81" i="1"/>
  <c r="K47" i="5"/>
  <c r="K68" i="5"/>
  <c r="K67" i="5"/>
  <c r="K55" i="5"/>
  <c r="D39" i="17" s="1"/>
  <c r="K39" i="5"/>
  <c r="D38" i="17" s="1"/>
  <c r="K31" i="5"/>
  <c r="D37" i="17" s="1"/>
  <c r="D36" i="17"/>
  <c r="K6" i="5"/>
  <c r="L2" i="5"/>
  <c r="L59" i="5" s="1"/>
  <c r="J80" i="5"/>
  <c r="I67" i="1"/>
  <c r="I71" i="1" s="1"/>
  <c r="I78" i="1"/>
  <c r="J66" i="1"/>
  <c r="J59" i="1"/>
  <c r="J62" i="1" s="1"/>
  <c r="J65" i="1"/>
  <c r="J29" i="1"/>
  <c r="J39" i="1"/>
  <c r="J55" i="1"/>
  <c r="J47" i="1"/>
  <c r="J21" i="1"/>
  <c r="K9" i="1" l="1"/>
  <c r="D25" i="17" s="1"/>
  <c r="J73" i="5"/>
  <c r="J76" i="5" s="1"/>
  <c r="J77" i="5" s="1"/>
  <c r="J81" i="5" s="1"/>
  <c r="J82" i="5" s="1"/>
  <c r="K11" i="5"/>
  <c r="D35" i="17" s="1"/>
  <c r="L3" i="5"/>
  <c r="H83" i="5"/>
  <c r="I74" i="1"/>
  <c r="I75" i="1" s="1"/>
  <c r="C31" i="17"/>
  <c r="B63" i="17"/>
  <c r="C61" i="17" s="1"/>
  <c r="I81" i="5"/>
  <c r="I82" i="5" s="1"/>
  <c r="L60" i="5"/>
  <c r="L64" i="5" s="1"/>
  <c r="H81" i="1"/>
  <c r="K69" i="5"/>
  <c r="L67" i="5"/>
  <c r="L68" i="5"/>
  <c r="L47" i="5"/>
  <c r="L39" i="5"/>
  <c r="L55" i="5"/>
  <c r="L31" i="5"/>
  <c r="L6" i="5"/>
  <c r="L11" i="5" s="1"/>
  <c r="M2" i="5"/>
  <c r="M59" i="5" s="1"/>
  <c r="K80" i="5"/>
  <c r="J67" i="1"/>
  <c r="J71" i="1" s="1"/>
  <c r="J78" i="1"/>
  <c r="K65" i="1"/>
  <c r="L9" i="1"/>
  <c r="K66" i="1"/>
  <c r="K59" i="1"/>
  <c r="K62" i="1" s="1"/>
  <c r="D30" i="17" s="1"/>
  <c r="K29" i="1"/>
  <c r="D27" i="17" s="1"/>
  <c r="K39" i="1"/>
  <c r="D28" i="17" s="1"/>
  <c r="K55" i="1"/>
  <c r="D29" i="17" s="1"/>
  <c r="K47" i="1"/>
  <c r="K21" i="1"/>
  <c r="D26" i="17" s="1"/>
  <c r="K73" i="5" l="1"/>
  <c r="K76" i="5" s="1"/>
  <c r="K77" i="5" s="1"/>
  <c r="D41" i="17" s="1"/>
  <c r="D42" i="17" s="1"/>
  <c r="D69" i="17"/>
  <c r="M3" i="5"/>
  <c r="N3" i="5" s="1"/>
  <c r="I83" i="5"/>
  <c r="J83" i="5" s="1"/>
  <c r="J74" i="1"/>
  <c r="J75" i="1" s="1"/>
  <c r="J79" i="1" s="1"/>
  <c r="J80" i="1" s="1"/>
  <c r="I79" i="1"/>
  <c r="I80" i="1" s="1"/>
  <c r="I81" i="1" s="1"/>
  <c r="C76" i="17"/>
  <c r="C32" i="17"/>
  <c r="D75" i="17"/>
  <c r="D73" i="17"/>
  <c r="D71" i="17"/>
  <c r="D70" i="17"/>
  <c r="D72" i="17"/>
  <c r="M60" i="5"/>
  <c r="N60" i="5" s="1"/>
  <c r="N64" i="5" s="1"/>
  <c r="M67" i="5"/>
  <c r="M39" i="5"/>
  <c r="E38" i="17" s="1"/>
  <c r="F38" i="17" s="1"/>
  <c r="M68" i="5"/>
  <c r="M47" i="5"/>
  <c r="M31" i="5"/>
  <c r="M55" i="5"/>
  <c r="E39" i="17" s="1"/>
  <c r="L69" i="5"/>
  <c r="M6" i="5"/>
  <c r="M11" i="5" s="1"/>
  <c r="N6" i="5"/>
  <c r="N11" i="5" s="1"/>
  <c r="L80" i="5"/>
  <c r="K78" i="1"/>
  <c r="L65" i="1"/>
  <c r="L59" i="1"/>
  <c r="L62" i="1" s="1"/>
  <c r="L66" i="1"/>
  <c r="L47" i="1"/>
  <c r="L39" i="1"/>
  <c r="L29" i="1"/>
  <c r="L21" i="1"/>
  <c r="L55" i="1"/>
  <c r="K67" i="1"/>
  <c r="K71" i="1" s="1"/>
  <c r="L73" i="5" l="1"/>
  <c r="L76" i="5" s="1"/>
  <c r="L77" i="5" s="1"/>
  <c r="C44" i="17"/>
  <c r="C58" i="17" s="1"/>
  <c r="C62" i="17" s="1"/>
  <c r="C63" i="17" s="1"/>
  <c r="D61" i="17" s="1"/>
  <c r="E35" i="17"/>
  <c r="K74" i="1"/>
  <c r="K75" i="1" s="1"/>
  <c r="K79" i="1" s="1"/>
  <c r="K80" i="1" s="1"/>
  <c r="E37" i="17"/>
  <c r="F37" i="17" s="1"/>
  <c r="E36" i="17"/>
  <c r="F36" i="17" s="1"/>
  <c r="F39" i="17"/>
  <c r="K81" i="5"/>
  <c r="K82" i="5" s="1"/>
  <c r="K83" i="5" s="1"/>
  <c r="F35" i="17"/>
  <c r="M64" i="5"/>
  <c r="J81" i="1"/>
  <c r="M69" i="5"/>
  <c r="N80" i="5"/>
  <c r="L78" i="1"/>
  <c r="M9" i="1"/>
  <c r="M65" i="1"/>
  <c r="M59" i="1"/>
  <c r="M62" i="1" s="1"/>
  <c r="E30" i="17" s="1"/>
  <c r="F30" i="17" s="1"/>
  <c r="M66" i="1"/>
  <c r="M21" i="1"/>
  <c r="E26" i="17" s="1"/>
  <c r="M29" i="1"/>
  <c r="E27" i="17" s="1"/>
  <c r="M39" i="1"/>
  <c r="E28" i="17" s="1"/>
  <c r="M55" i="1"/>
  <c r="E29" i="17" s="1"/>
  <c r="F29" i="17" s="1"/>
  <c r="M47" i="1"/>
  <c r="L67" i="1"/>
  <c r="L71" i="1" s="1"/>
  <c r="N9" i="1" l="1"/>
  <c r="N78" i="1" s="1"/>
  <c r="E25" i="17"/>
  <c r="E69" i="17" s="1"/>
  <c r="L74" i="1"/>
  <c r="L75" i="1" s="1"/>
  <c r="D31" i="17"/>
  <c r="E73" i="17"/>
  <c r="E71" i="17"/>
  <c r="F27" i="17"/>
  <c r="E70" i="17"/>
  <c r="F26" i="17"/>
  <c r="E72" i="17"/>
  <c r="E40" i="17"/>
  <c r="M80" i="5"/>
  <c r="F28" i="17"/>
  <c r="L81" i="5"/>
  <c r="L82" i="5" s="1"/>
  <c r="L83" i="5" s="1"/>
  <c r="M73" i="5"/>
  <c r="K81" i="1"/>
  <c r="M78" i="1"/>
  <c r="M67" i="1"/>
  <c r="M71" i="1" s="1"/>
  <c r="F25" i="17" l="1"/>
  <c r="N73" i="5"/>
  <c r="N76" i="5" s="1"/>
  <c r="N77" i="5" s="1"/>
  <c r="N81" i="5" s="1"/>
  <c r="N82" i="5" s="1"/>
  <c r="M76" i="5"/>
  <c r="M77" i="5" s="1"/>
  <c r="M81" i="5" s="1"/>
  <c r="M74" i="1"/>
  <c r="M75" i="1" s="1"/>
  <c r="M79" i="1" s="1"/>
  <c r="M80" i="1" s="1"/>
  <c r="L79" i="1"/>
  <c r="L80" i="1" s="1"/>
  <c r="L81" i="1" s="1"/>
  <c r="D76" i="17"/>
  <c r="D32" i="17"/>
  <c r="E75" i="17"/>
  <c r="F40" i="17"/>
  <c r="M82" i="5"/>
  <c r="M83" i="5" s="1"/>
  <c r="N67" i="1"/>
  <c r="N71" i="1" s="1"/>
  <c r="N74" i="1" s="1"/>
  <c r="E41" i="17" l="1"/>
  <c r="E42" i="17" s="1"/>
  <c r="N83" i="5"/>
  <c r="D44" i="17"/>
  <c r="D58" i="17" s="1"/>
  <c r="D62" i="17" s="1"/>
  <c r="D63" i="17" s="1"/>
  <c r="E61" i="17" s="1"/>
  <c r="M81" i="1"/>
  <c r="N75" i="1"/>
  <c r="N79" i="1" s="1"/>
  <c r="N80" i="1" s="1"/>
  <c r="F42" i="17" l="1"/>
  <c r="F41" i="17"/>
  <c r="E31" i="17"/>
  <c r="N81" i="1"/>
  <c r="E76" i="17" l="1"/>
  <c r="E32" i="17"/>
  <c r="F31" i="17"/>
  <c r="F32" i="17" l="1"/>
  <c r="E44" i="17"/>
  <c r="F44" i="17" l="1"/>
  <c r="G24" i="20" s="1"/>
  <c r="G21" i="20"/>
  <c r="E58" i="17"/>
  <c r="G54" i="20" l="1"/>
  <c r="G55" i="20" s="1"/>
  <c r="D8" i="21"/>
  <c r="G43" i="20"/>
  <c r="G22" i="20"/>
  <c r="G35" i="20"/>
  <c r="G42" i="20" s="1"/>
  <c r="G44" i="20"/>
  <c r="H22" i="20"/>
  <c r="G25" i="20"/>
  <c r="D9" i="21"/>
  <c r="G31" i="20"/>
  <c r="G29" i="20"/>
  <c r="H25" i="20"/>
  <c r="G26" i="20"/>
  <c r="F58" i="17"/>
  <c r="E62" i="17"/>
  <c r="D10" i="21" l="1"/>
  <c r="P18" i="20"/>
  <c r="P19" i="20" s="1"/>
  <c r="G33" i="20"/>
  <c r="G32" i="20"/>
  <c r="H32" i="20"/>
  <c r="G37" i="20"/>
  <c r="H8" i="21"/>
  <c r="L8" i="21" s="1"/>
  <c r="D14" i="21"/>
  <c r="E14" i="21"/>
  <c r="D15" i="21"/>
  <c r="H9" i="21"/>
  <c r="L9" i="21" s="1"/>
  <c r="E15" i="21"/>
  <c r="F62" i="17"/>
  <c r="E63" i="17"/>
  <c r="F63" i="17" s="1"/>
  <c r="G39" i="20" l="1"/>
  <c r="G41" i="20" s="1"/>
  <c r="G45" i="20" s="1"/>
  <c r="G50" i="20" s="1"/>
  <c r="D16" i="21"/>
  <c r="H10" i="21"/>
  <c r="L10" i="21" s="1"/>
  <c r="E16" i="21"/>
  <c r="P7" i="20" l="1"/>
  <c r="G56" i="20"/>
  <c r="G64" i="20"/>
  <c r="G65" i="20" s="1"/>
  <c r="H56" i="20" l="1"/>
  <c r="G66" i="20"/>
  <c r="G68" i="20" s="1"/>
  <c r="G70" i="20" s="1"/>
  <c r="G58" i="20"/>
  <c r="G60" i="20" s="1"/>
  <c r="H66" i="20" l="1"/>
  <c r="H68" i="20" s="1"/>
  <c r="H70" i="20" s="1"/>
  <c r="H58" i="20"/>
  <c r="H60" i="2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Mattia Astarita</author>
  </authors>
  <commentList>
    <comment ref="C5" authorId="0" shapeId="0" xr:uid="{C891ED4A-8BCD-4324-9E84-C9767DDA4697}">
      <text>
        <r>
          <rPr>
            <b/>
            <sz val="9"/>
            <color indexed="81"/>
            <rFont val="Tahoma"/>
            <family val="2"/>
          </rPr>
          <t>Mattia Astarita:</t>
        </r>
        <r>
          <rPr>
            <sz val="9"/>
            <color indexed="81"/>
            <rFont val="Tahoma"/>
            <family val="2"/>
          </rPr>
          <t xml:space="preserve">
As per 80-20 revenue share model with on-ramping services
</t>
        </r>
      </text>
    </comment>
    <comment ref="C10" authorId="0" shapeId="0" xr:uid="{28E5A017-2E56-48B1-875A-458AD1EB5A5C}">
      <text>
        <r>
          <rPr>
            <b/>
            <sz val="9"/>
            <color indexed="81"/>
            <rFont val="Tahoma"/>
            <family val="2"/>
          </rPr>
          <t>Mattia Astarita:</t>
        </r>
        <r>
          <rPr>
            <sz val="9"/>
            <color indexed="81"/>
            <rFont val="Tahoma"/>
            <family val="2"/>
          </rPr>
          <t xml:space="preserve">
Processing fee from Paymentology</t>
        </r>
      </text>
    </comment>
    <comment ref="A16" authorId="0" shapeId="0" xr:uid="{8C58356A-C3DD-48AB-BC8F-6A71C79EE7A9}">
      <text>
        <r>
          <rPr>
            <b/>
            <sz val="9"/>
            <color indexed="81"/>
            <rFont val="Tahoma"/>
            <family val="2"/>
          </rPr>
          <t>Mattia Astarita:</t>
        </r>
        <r>
          <rPr>
            <sz val="9"/>
            <color indexed="81"/>
            <rFont val="Tahoma"/>
            <family val="2"/>
          </rPr>
          <t xml:space="preserve">
Number of users that will receive the card for free</t>
        </r>
      </text>
    </comment>
  </commentList>
</comments>
</file>

<file path=xl/sharedStrings.xml><?xml version="1.0" encoding="utf-8"?>
<sst xmlns="http://schemas.openxmlformats.org/spreadsheetml/2006/main" count="586" uniqueCount="383">
  <si>
    <t>Key inputs</t>
  </si>
  <si>
    <t>Fee</t>
  </si>
  <si>
    <t>Cost</t>
  </si>
  <si>
    <t>On Ramp</t>
  </si>
  <si>
    <t>Card payment</t>
  </si>
  <si>
    <t>Bank transfer</t>
  </si>
  <si>
    <t>Crypto-crypto swap</t>
  </si>
  <si>
    <t>Off Ramp</t>
  </si>
  <si>
    <t>Interchange</t>
  </si>
  <si>
    <t>Membership Subscription</t>
  </si>
  <si>
    <t>ROI on Invested Treasury</t>
  </si>
  <si>
    <t>Invested Capital</t>
  </si>
  <si>
    <t>MVP Users</t>
  </si>
  <si>
    <t>Conversion GBP to EUR</t>
  </si>
  <si>
    <t>Oly dashboard</t>
  </si>
  <si>
    <t>Q1 2023</t>
  </si>
  <si>
    <t>Q2 2023</t>
  </si>
  <si>
    <t>Q3 2023</t>
  </si>
  <si>
    <t>Q4 2023</t>
  </si>
  <si>
    <t>Y 2023</t>
  </si>
  <si>
    <t>Revenue Streams</t>
  </si>
  <si>
    <t>Card Sales</t>
  </si>
  <si>
    <t>Swap Crypto to Crypto</t>
  </si>
  <si>
    <t>Transfer (Crypto to Crypto)</t>
  </si>
  <si>
    <t>Treasury Management</t>
  </si>
  <si>
    <t>Total Revenue</t>
  </si>
  <si>
    <t>Direct Costs</t>
  </si>
  <si>
    <t xml:space="preserve">Off Ramp </t>
  </si>
  <si>
    <t>Total Direct Costs</t>
  </si>
  <si>
    <t>Gross Profit</t>
  </si>
  <si>
    <t>Operating Expenditure</t>
  </si>
  <si>
    <t>Payroll</t>
  </si>
  <si>
    <t>Other Operating Expenses</t>
  </si>
  <si>
    <t>Total Operating Expenditure</t>
  </si>
  <si>
    <t>EBITDA</t>
  </si>
  <si>
    <t>Capital Expenditure</t>
  </si>
  <si>
    <t>Product development</t>
  </si>
  <si>
    <t>Total Capital Expenditure</t>
  </si>
  <si>
    <t>Net burn rate</t>
  </si>
  <si>
    <t>Capital</t>
  </si>
  <si>
    <t>Cash burned</t>
  </si>
  <si>
    <t>Cash end period</t>
  </si>
  <si>
    <t>Headcount</t>
  </si>
  <si>
    <t>Gross profit margins</t>
  </si>
  <si>
    <t>Off Ramp (Card Payment)</t>
  </si>
  <si>
    <t>Off Ramp (Bank Transfer)</t>
  </si>
  <si>
    <t>Unit Economics</t>
  </si>
  <si>
    <t>Oly</t>
  </si>
  <si>
    <t>Customer Lifetime = 20 months</t>
  </si>
  <si>
    <t>Lifetime Value</t>
  </si>
  <si>
    <t>Total LTV</t>
  </si>
  <si>
    <t>Customer Acquisition Costs</t>
  </si>
  <si>
    <t>Selling &amp; Marketing</t>
  </si>
  <si>
    <t>Total CAC</t>
  </si>
  <si>
    <t>LTV/CAC</t>
  </si>
  <si>
    <t>On Ramped</t>
  </si>
  <si>
    <t>Amount Invested</t>
  </si>
  <si>
    <t>Months Invested</t>
  </si>
  <si>
    <t>Adjusted Return</t>
  </si>
  <si>
    <t>IRR Returns Analysis</t>
  </si>
  <si>
    <t>Notes</t>
  </si>
  <si>
    <t>Returns in 5 years</t>
  </si>
  <si>
    <t>Entry Multiple (2022 GP)</t>
  </si>
  <si>
    <t>GP 2022 (annualised September)</t>
  </si>
  <si>
    <t>Entry valuation</t>
  </si>
  <si>
    <t>EXIT Multiple (5 years)</t>
  </si>
  <si>
    <t>GP in 2027F</t>
  </si>
  <si>
    <t>Enterprise Value (EXIT) €m</t>
  </si>
  <si>
    <t>Less: Net Debt</t>
  </si>
  <si>
    <t>Equity Value (EXIT) €m</t>
  </si>
  <si>
    <t>Free Cash Flow to Equity</t>
  </si>
  <si>
    <t>Equity Investment</t>
  </si>
  <si>
    <t>Equity inflow at the time of sale</t>
  </si>
  <si>
    <t>Total Cashflows</t>
  </si>
  <si>
    <t>IRR</t>
  </si>
  <si>
    <t>MOIC</t>
  </si>
  <si>
    <t>Factor</t>
  </si>
  <si>
    <t>Discounted FCF</t>
  </si>
  <si>
    <t>Entry Equity Value</t>
  </si>
  <si>
    <t>Net Debt</t>
  </si>
  <si>
    <t>Enterprise value</t>
  </si>
  <si>
    <t>EV/EBITDA FY+1</t>
  </si>
  <si>
    <t>5 year Exit scenario (Exit Multiple = 20.5x FY+1 EBITDA)</t>
  </si>
  <si>
    <t>Entry Price</t>
  </si>
  <si>
    <t>5-Year DCF Analysis</t>
  </si>
  <si>
    <t>`</t>
  </si>
  <si>
    <t>Projections</t>
  </si>
  <si>
    <t>2022</t>
  </si>
  <si>
    <t>2023</t>
  </si>
  <si>
    <t>2024</t>
  </si>
  <si>
    <t>Assumptions</t>
  </si>
  <si>
    <t>Exit Multiple</t>
  </si>
  <si>
    <t>Debt</t>
  </si>
  <si>
    <t>Sum of PV of Unlevered FCF</t>
  </si>
  <si>
    <t>Shares</t>
  </si>
  <si>
    <t>Tax Rate</t>
  </si>
  <si>
    <t>EV/Revenue Exit Multiple</t>
  </si>
  <si>
    <t>WACC</t>
  </si>
  <si>
    <t>Terminal Value</t>
  </si>
  <si>
    <t>Exit Revenue Multiple (forward) 2023</t>
  </si>
  <si>
    <t>Exit Revenue Multiple (forward) 2024</t>
  </si>
  <si>
    <t>PV of Terminal Value</t>
  </si>
  <si>
    <t>Perpetuity Growth Rate</t>
  </si>
  <si>
    <t>CapEx</t>
  </si>
  <si>
    <t>Implied Enterprise Value</t>
  </si>
  <si>
    <t>NWC</t>
  </si>
  <si>
    <t>2023 Revenue</t>
  </si>
  <si>
    <t>D&amp;A (as % of Revenue)</t>
  </si>
  <si>
    <t>Implied Rev Multiple</t>
  </si>
  <si>
    <t>Mid-year Adjustment</t>
  </si>
  <si>
    <t>2024 EBITDA</t>
  </si>
  <si>
    <t>DCF (USD)</t>
  </si>
  <si>
    <t>Net Revenue</t>
  </si>
  <si>
    <t>Exit Multiple - EV / EBITDA (x)</t>
  </si>
  <si>
    <t>% Growth</t>
  </si>
  <si>
    <t>WACC (%)</t>
  </si>
  <si>
    <t>% Margin</t>
  </si>
  <si>
    <t>OPEX</t>
  </si>
  <si>
    <t>% of GP</t>
  </si>
  <si>
    <t>Perpetuity Growth Rate (%)</t>
  </si>
  <si>
    <t xml:space="preserve">EBITDA </t>
  </si>
  <si>
    <t>(-) D&amp;A</t>
  </si>
  <si>
    <t>Operating Income</t>
  </si>
  <si>
    <t>(-) Tax</t>
  </si>
  <si>
    <t>NOPAT</t>
  </si>
  <si>
    <t>(+) D&amp;A</t>
  </si>
  <si>
    <t>(-) CapEx</t>
  </si>
  <si>
    <t>(+/-) NWC</t>
  </si>
  <si>
    <t>Unlevered FCF</t>
  </si>
  <si>
    <t>Discount Period</t>
  </si>
  <si>
    <t xml:space="preserve">Cumulative Discount </t>
  </si>
  <si>
    <t>Discount Rate</t>
  </si>
  <si>
    <t>PV of Cash Flow</t>
  </si>
  <si>
    <t>Terminal Revenue Multiple</t>
  </si>
  <si>
    <t>Enterprise Value</t>
  </si>
  <si>
    <t>Equity Value</t>
  </si>
  <si>
    <t>Sensitivity Analysis - Terminal Multiple Method</t>
  </si>
  <si>
    <t>Terminal Rev Multiple</t>
  </si>
  <si>
    <t xml:space="preserve">Discount </t>
  </si>
  <si>
    <t>Rate</t>
  </si>
  <si>
    <t>(WACC)</t>
  </si>
  <si>
    <t>Implied Perpetuity Growth Rate</t>
  </si>
  <si>
    <t>Terminal EBITDA Multiple</t>
  </si>
  <si>
    <t>Sensitivity Analysis - Perpetuity Growth Rate</t>
  </si>
  <si>
    <t>Implied Terminal EBITDA Multiple</t>
  </si>
  <si>
    <t>Relative Valuation</t>
  </si>
  <si>
    <t xml:space="preserve">Key Financials </t>
  </si>
  <si>
    <t>Forecasts</t>
  </si>
  <si>
    <r>
      <t>Reference Year:</t>
    </r>
    <r>
      <rPr>
        <b/>
        <sz val="11"/>
        <color rgb="FF00719D"/>
        <rFont val="Calibri"/>
        <family val="2"/>
        <scheme val="minor"/>
      </rPr>
      <t xml:space="preserve"> 202EE</t>
    </r>
  </si>
  <si>
    <t>USD</t>
  </si>
  <si>
    <t>Valuation Multiple</t>
  </si>
  <si>
    <t>Metric</t>
  </si>
  <si>
    <r>
      <t>Multiple</t>
    </r>
    <r>
      <rPr>
        <b/>
        <vertAlign val="superscript"/>
        <sz val="11"/>
        <color theme="0"/>
        <rFont val="Calibri"/>
        <family val="2"/>
        <scheme val="minor"/>
      </rPr>
      <t>1</t>
    </r>
  </si>
  <si>
    <t>Discount</t>
  </si>
  <si>
    <r>
      <t>Multiple</t>
    </r>
    <r>
      <rPr>
        <b/>
        <vertAlign val="superscript"/>
        <sz val="11"/>
        <color theme="0"/>
        <rFont val="Calibri"/>
        <family val="2"/>
        <scheme val="minor"/>
      </rPr>
      <t>2</t>
    </r>
  </si>
  <si>
    <t>EV</t>
  </si>
  <si>
    <t>Revenue</t>
  </si>
  <si>
    <t>EV/Sales</t>
  </si>
  <si>
    <t>EV/Gross Profit</t>
  </si>
  <si>
    <t>EV/EBITDA</t>
  </si>
  <si>
    <r>
      <t>Reference Year:</t>
    </r>
    <r>
      <rPr>
        <b/>
        <sz val="11"/>
        <color rgb="FF00719D"/>
        <rFont val="Calibri"/>
        <family val="2"/>
        <scheme val="minor"/>
      </rPr>
      <t xml:space="preserve"> 2024E</t>
    </r>
  </si>
  <si>
    <t>YoY Growth (%)</t>
  </si>
  <si>
    <t>-</t>
  </si>
  <si>
    <t>Market Multiples</t>
  </si>
  <si>
    <t>2022E</t>
  </si>
  <si>
    <t>2023E</t>
  </si>
  <si>
    <t>Notes:</t>
  </si>
  <si>
    <t>Average</t>
  </si>
  <si>
    <t>Median</t>
  </si>
  <si>
    <r>
      <t>Multiple</t>
    </r>
    <r>
      <rPr>
        <b/>
        <vertAlign val="superscript"/>
        <sz val="11"/>
        <color theme="0" tint="-0.499984740745262"/>
        <rFont val="Calibri"/>
        <family val="2"/>
        <scheme val="minor"/>
      </rPr>
      <t>1</t>
    </r>
    <r>
      <rPr>
        <b/>
        <sz val="11"/>
        <color theme="0" tint="-0.499984740745262"/>
        <rFont val="Calibri"/>
        <family val="2"/>
        <scheme val="minor"/>
      </rPr>
      <t xml:space="preserve"> </t>
    </r>
    <r>
      <rPr>
        <sz val="11"/>
        <color theme="0" tint="-0.499984740745262"/>
        <rFont val="Calibri"/>
        <family val="2"/>
        <scheme val="minor"/>
      </rPr>
      <t>refers to the AVERAGE trading multiple of comparable companies.</t>
    </r>
  </si>
  <si>
    <r>
      <t>Multiple</t>
    </r>
    <r>
      <rPr>
        <b/>
        <vertAlign val="superscript"/>
        <sz val="11"/>
        <color theme="0" tint="-0.499984740745262"/>
        <rFont val="Calibri"/>
        <family val="2"/>
        <scheme val="minor"/>
      </rPr>
      <t>2</t>
    </r>
    <r>
      <rPr>
        <b/>
        <sz val="11"/>
        <color theme="0" tint="-0.499984740745262"/>
        <rFont val="Calibri"/>
        <family val="2"/>
        <scheme val="minor"/>
      </rPr>
      <t xml:space="preserve"> </t>
    </r>
    <r>
      <rPr>
        <sz val="11"/>
        <color theme="0" tint="-0.499984740745262"/>
        <rFont val="Calibri"/>
        <family val="2"/>
        <scheme val="minor"/>
      </rPr>
      <t>refers to the adjusted multiple applied after discounts / premiums</t>
    </r>
  </si>
  <si>
    <t>Tangem</t>
  </si>
  <si>
    <t>x</t>
  </si>
  <si>
    <t>LTV</t>
  </si>
  <si>
    <t>Assumption</t>
  </si>
  <si>
    <t>Annual churn rate</t>
  </si>
  <si>
    <t>Set up rev</t>
  </si>
  <si>
    <t>Transaction rev</t>
  </si>
  <si>
    <t>Av volume pcm</t>
  </si>
  <si>
    <t>Other rev</t>
  </si>
  <si>
    <t>Total</t>
  </si>
  <si>
    <t>CAC</t>
  </si>
  <si>
    <t>EBITDA MARGIN SENSITIVITY TABLES ON EBITDA - what is ebitda margin for this biz</t>
  </si>
  <si>
    <t xml:space="preserve">Gross Profit </t>
  </si>
  <si>
    <t>Cardholders</t>
  </si>
  <si>
    <t>Assumptions &gt;&gt;&gt;</t>
  </si>
  <si>
    <t>Particulars</t>
  </si>
  <si>
    <t>Reasoning</t>
  </si>
  <si>
    <t>Explanation</t>
  </si>
  <si>
    <t>We are targeting crypto natives firstly who have been paying 100s of dollars for good hardware wallets like ledger. Other hardware wallets such as Tangem sells their cards at $60 for a 3 card pack. Therefore, we believe this is a feasible price to sell this card to our audience</t>
  </si>
  <si>
    <t>Charge for selling the visa card to the user along with no backup</t>
  </si>
  <si>
    <t>On Ramp (Card Payment)</t>
  </si>
  <si>
    <t>To cover high cost involved in bear scenario considering acquiring fee, issuing fee, scheme fee
These are gross fees and by using saltpay acquiring and other services, we can bring it down to 0.5%
+ 20 bps as monerium is not acquired</t>
  </si>
  <si>
    <t>Charge for minting EURm by card payment</t>
  </si>
  <si>
    <t xml:space="preserve">Onramping only through bank transfer. No fees for onramping, only charge for off-ramping to increase liquidity of the stablecoin. We have a partnership with Monerium that enables us to do so. </t>
  </si>
  <si>
    <t>Charge for minting EURm by bank transfer</t>
  </si>
  <si>
    <t>This is based on competitor analysis. The biggest player (Metamask) has 0.875% fee on in app swaps. This is the same function, however at a lower fee. A 2021 study claimed that MetaMask was generating anywhere from $85,000 to $220,000 each day from these fees alone, with an estimated revenue of $100 million in 2021.</t>
  </si>
  <si>
    <t>Charge for swapping between various tokens on the wallet through cowswap</t>
  </si>
  <si>
    <t>Card Payment - Interchange</t>
  </si>
  <si>
    <t>Interchange for VISA consumer debit is fixed at 0.2% in UK and EEA</t>
  </si>
  <si>
    <t>Charged to merchant as issuer of VISA consumer debit card</t>
  </si>
  <si>
    <t>Currently the closest hardware wallets competitors are Ledger, BitPay, and Wirex amongst others. While ledger has 2% fees as it is semi-self-custodial, others don’t reveal a fee but give a higher exchange rate for the off ramp. Tether issues USDT charges 0.1% on a minimum of 100,000 USD deposit/withdrawal. Circle charges between 0.2-0.3%, however only institutional investors qualify. Considering 0% fee on onramping, we believe 1% makes sense.</t>
  </si>
  <si>
    <t>Charge for transferring EURm to EUR to any bank account</t>
  </si>
  <si>
    <t>This is essentially peer to peer crypto transfers between wallets. Ledger has imposed a 0.4% fee on it, however most wallets do not impose a fee here as it is supposed to be an open system.</t>
  </si>
  <si>
    <t>Charge for transferring crypto directly out of the wallet (capped at $5)</t>
  </si>
  <si>
    <t>Based on avoidance of canibalisation of revenue lost due to discounts and cost of metal card</t>
  </si>
  <si>
    <t>Monthly charge per user for premium features and discount on fees</t>
  </si>
  <si>
    <t>Members as a % of users</t>
  </si>
  <si>
    <t>In line with Monzo users, of which 8-9% are users paying for membership of various tiers</t>
  </si>
  <si>
    <t>This is considering Monerium acquisition is completed. Whenever monerium on ramps money, it holds fiat and mints EURm, which is a stablecoin pegged to EUR. It promises that any 1 EURm can be redeemed for 1 EUR, hence its essentially customers money indirectly. Monerium is in contact with state street to manage their money. As per industry standard, we need to maintain majority funds in cash and other in low risk low yield assets like government treasury bonds. Monerium team had informed that it is possible to get 2% return.</t>
  </si>
  <si>
    <t>ROI earned on customer funds invested in low-yield low-risk assets</t>
  </si>
  <si>
    <t>On Ramp (Bank Transfer)</t>
  </si>
  <si>
    <t>Monerium charging us 20 bps in bear scenario</t>
  </si>
  <si>
    <t>Cost of minting EURm by bank transfer</t>
  </si>
  <si>
    <t>SEPA Transfer costs which are negligible</t>
  </si>
  <si>
    <t>Cost for swapping between various tokens on the wallet through cowswap</t>
  </si>
  <si>
    <t>Off Ramp (Card Payment - User)</t>
  </si>
  <si>
    <t>Cost to issue and process the cards with paymentology</t>
  </si>
  <si>
    <t>Cost for spending with EURm at any VISA merchant -  Paymentology Cost</t>
  </si>
  <si>
    <t>No cost to off ramp with bank transfer</t>
  </si>
  <si>
    <t>Cost for transferring EURm to EUR to any bank account</t>
  </si>
  <si>
    <t>No cost to transfer crypto to crypto</t>
  </si>
  <si>
    <t>Cost for transferring crypto directly out of the wallet</t>
  </si>
  <si>
    <t>Discount on fees for members</t>
  </si>
  <si>
    <t>Idea behind membership, giving discounts to members on fees they incur while using Oly just like Revolut gives discount on trading fees for crypto, stocks and commodities.</t>
  </si>
  <si>
    <t>Fees discount given to members as a result of subscription</t>
  </si>
  <si>
    <t>Loss of revenue from fees</t>
  </si>
  <si>
    <t>Fees lost due to discount given to users</t>
  </si>
  <si>
    <t>Additional Cost of Metal Card</t>
  </si>
  <si>
    <t>Additional costs of producing a metal card for members</t>
  </si>
  <si>
    <t>Cost of Investments of Treasury</t>
  </si>
  <si>
    <t>As monerium is not acquired in bear scenario, we do not manage treasury</t>
  </si>
  <si>
    <t>Costs incurred for investments of treasury</t>
  </si>
  <si>
    <t>Production Cost</t>
  </si>
  <si>
    <t>As per numbers from Tangem</t>
  </si>
  <si>
    <t>Cost to produce the average Tangem pack</t>
  </si>
  <si>
    <t>Packaging Cost</t>
  </si>
  <si>
    <t>Cost to package the card</t>
  </si>
  <si>
    <t>Logistics Cost</t>
  </si>
  <si>
    <t>Cost to deliver the card to the consumer</t>
  </si>
  <si>
    <t>Sales bonus and commissions</t>
  </si>
  <si>
    <t>Average sales bonus commission in 2022 (% from revenue)</t>
  </si>
  <si>
    <t>Oly Business &gt;&gt;&gt;</t>
  </si>
  <si>
    <t>Jan-23</t>
  </si>
  <si>
    <t>Feb-23</t>
  </si>
  <si>
    <t>Mar-23</t>
  </si>
  <si>
    <t>Apr-23</t>
  </si>
  <si>
    <t>May-23</t>
  </si>
  <si>
    <t>Jun-23</t>
  </si>
  <si>
    <t>Jul-23</t>
  </si>
  <si>
    <t>Aug-23</t>
  </si>
  <si>
    <t>Sep-23</t>
  </si>
  <si>
    <t>Oct-23</t>
  </si>
  <si>
    <t>Nov-23</t>
  </si>
  <si>
    <t>Dec-23</t>
  </si>
  <si>
    <t>Number of Users</t>
  </si>
  <si>
    <t>Growing at a rate of 48.07% to reach 150,000 users by year end</t>
  </si>
  <si>
    <t>Number of Active Users</t>
  </si>
  <si>
    <t>5% churn</t>
  </si>
  <si>
    <t>Price charged per card</t>
  </si>
  <si>
    <t>Charge for selling the visa card to the user</t>
  </si>
  <si>
    <t>Number of cards sold</t>
  </si>
  <si>
    <t>Number of new visa card sold / new users onboarded</t>
  </si>
  <si>
    <t>Per User Card Sales Revenue</t>
  </si>
  <si>
    <t>Total Card Sales Revenue</t>
  </si>
  <si>
    <t>Number of on ramp tx</t>
  </si>
  <si>
    <t>as per data from tangem</t>
  </si>
  <si>
    <t>Average on ramp tx amount</t>
  </si>
  <si>
    <t>% of tx through card payment</t>
  </si>
  <si>
    <t>% of tx through bank transfer</t>
  </si>
  <si>
    <t>% commision charged on card on ramp</t>
  </si>
  <si>
    <t>Commision earned on card on ramp</t>
  </si>
  <si>
    <t>% commision charged on bank transfer on ramp</t>
  </si>
  <si>
    <t>Commision earned on bank transfer on ramp</t>
  </si>
  <si>
    <t>Per User On Ramp Revenue</t>
  </si>
  <si>
    <t>Total On Ramp Revenue</t>
  </si>
  <si>
    <t>Number of swap tx</t>
  </si>
  <si>
    <t>Average swap tx amount</t>
  </si>
  <si>
    <t>% commision charged on swap</t>
  </si>
  <si>
    <t>Commision earned on swap</t>
  </si>
  <si>
    <t>Per User Swap Revenue</t>
  </si>
  <si>
    <t>Total Swap Revenue</t>
  </si>
  <si>
    <t>Number of card payments</t>
  </si>
  <si>
    <t>SaltPay Iceland = 24 tx / month (25% through oly - 83% card, 17% bank)</t>
  </si>
  <si>
    <t>Average card payment amount</t>
  </si>
  <si>
    <t>SaltPay Iceland = $40 Average</t>
  </si>
  <si>
    <t>% commision charged on card payment</t>
  </si>
  <si>
    <t>Commision earned on card payment</t>
  </si>
  <si>
    <t>% interchange charged on card payment</t>
  </si>
  <si>
    <t>Interchange earned on card payment</t>
  </si>
  <si>
    <t>Per User Off Ramp (Card) Revenue</t>
  </si>
  <si>
    <t>Total Off Ramp (Card) Revenue</t>
  </si>
  <si>
    <t>Number of bank transfers</t>
  </si>
  <si>
    <t>Average bank transfer amount</t>
  </si>
  <si>
    <t>% commision charged on bank transfer</t>
  </si>
  <si>
    <t>Commision earned on bank transfer</t>
  </si>
  <si>
    <t>Per User Off Ramp (Bank) Revenue</t>
  </si>
  <si>
    <t>Total Off Ramp (Bank) Revenue</t>
  </si>
  <si>
    <t>Number of transfer tx</t>
  </si>
  <si>
    <t>Average transfer tx amount</t>
  </si>
  <si>
    <t>% commision charged on crypto transfer</t>
  </si>
  <si>
    <t>Commision earned on transfer</t>
  </si>
  <si>
    <t>Per User Transfer Revenue</t>
  </si>
  <si>
    <t>introduce rule here for $5 cap per tx</t>
  </si>
  <si>
    <t>Total Transfer Revenue</t>
  </si>
  <si>
    <t>% of users choosing pro membership</t>
  </si>
  <si>
    <t>Pro Membership Users</t>
  </si>
  <si>
    <t>Pro membership fee</t>
  </si>
  <si>
    <t>Per User Membership Revenue</t>
  </si>
  <si>
    <t>Total Membership Revenue</t>
  </si>
  <si>
    <t>Amount on ramped</t>
  </si>
  <si>
    <t>Amount off ramped</t>
  </si>
  <si>
    <t>Funds in custody</t>
  </si>
  <si>
    <t>% of funds maintained in cash</t>
  </si>
  <si>
    <t>50% of funds held in 1:1 cash reserves</t>
  </si>
  <si>
    <t>% of funds invested</t>
  </si>
  <si>
    <t>50% of funds invested in low-risk low-yield assets</t>
  </si>
  <si>
    <t>% ROI of invested funds</t>
  </si>
  <si>
    <t>Additional Funds Invested</t>
  </si>
  <si>
    <t>Amount of return on investments</t>
  </si>
  <si>
    <t>No compounding of return</t>
  </si>
  <si>
    <t>Total Treasury Revenue</t>
  </si>
  <si>
    <t>Total Recurring Revenue Per User</t>
  </si>
  <si>
    <t>Total Recurring Revenue for all users (including card sales)</t>
  </si>
  <si>
    <t>Treasury Revenue</t>
  </si>
  <si>
    <t>Total Recurring Revenue</t>
  </si>
  <si>
    <t>Accumulated Total Revenue</t>
  </si>
  <si>
    <t>Growing at a rate of 48.07%</t>
  </si>
  <si>
    <t>Prosuction cost per card</t>
  </si>
  <si>
    <t>As per data from Tangem</t>
  </si>
  <si>
    <t>Packaging cost per card</t>
  </si>
  <si>
    <t>Logistics cost per card</t>
  </si>
  <si>
    <t>Per Card Cost</t>
  </si>
  <si>
    <t>Total Card Sales Cost</t>
  </si>
  <si>
    <t>% Cost of card payment</t>
  </si>
  <si>
    <t>Cost incurred for card payment on ramp</t>
  </si>
  <si>
    <t xml:space="preserve">% Cost of bank transfer </t>
  </si>
  <si>
    <t>Cost incurred for bank transfer on ramp</t>
  </si>
  <si>
    <t>Per User On Ramp Cost</t>
  </si>
  <si>
    <t>Total On Ramp Cost</t>
  </si>
  <si>
    <t>% Cost of crypto swap</t>
  </si>
  <si>
    <t>no cost</t>
  </si>
  <si>
    <t>Cost incurred on swap</t>
  </si>
  <si>
    <t>Per User Swap Cost</t>
  </si>
  <si>
    <t>Total Swap Cost</t>
  </si>
  <si>
    <t>SaltPay Iceland = 20 tx / month (25% through oly card)</t>
  </si>
  <si>
    <t>% cost on card payment</t>
  </si>
  <si>
    <t>Paymentology</t>
  </si>
  <si>
    <t>Cost incurred on card payment</t>
  </si>
  <si>
    <t>Per User Off Ramp (Card) Cost</t>
  </si>
  <si>
    <t>Total Off Ramp (Card) Cost</t>
  </si>
  <si>
    <t>% cost on bank transfer</t>
  </si>
  <si>
    <t>Cost incurred on bank transfer</t>
  </si>
  <si>
    <t>Per User Off Ramp (Bank) Cost</t>
  </si>
  <si>
    <t>Total Off Ramp (Bank) Cost</t>
  </si>
  <si>
    <t>% cost on crypto transfer</t>
  </si>
  <si>
    <t>Cost incurred on crypto transfer</t>
  </si>
  <si>
    <t>Per User Transfer Cost</t>
  </si>
  <si>
    <t>Total Transfer Cost</t>
  </si>
  <si>
    <t>New Members</t>
  </si>
  <si>
    <t>Loss of revenue from commissions as a result</t>
  </si>
  <si>
    <t>Per User Membership Recurring Cost</t>
  </si>
  <si>
    <t>Total Membership Cost</t>
  </si>
  <si>
    <t>% cost on investments</t>
  </si>
  <si>
    <t>Costs incurred on investments</t>
  </si>
  <si>
    <t>Total Treasury Management Costs</t>
  </si>
  <si>
    <t>Total Recurring Direct Costs Per User</t>
  </si>
  <si>
    <t>Total Recurring Direct Costs for all users (including card sales)</t>
  </si>
  <si>
    <t>Treasury Management Costs</t>
  </si>
  <si>
    <t>Total Recurring Costs</t>
  </si>
  <si>
    <t>Accumulated Total Costs</t>
  </si>
  <si>
    <t>Hardware</t>
  </si>
  <si>
    <t>Cloud Infrastructure</t>
  </si>
  <si>
    <t xml:space="preserve">Development Site </t>
  </si>
  <si>
    <t>IT Infrastructure</t>
  </si>
  <si>
    <t>Total Hardware</t>
  </si>
  <si>
    <t>Software</t>
  </si>
  <si>
    <t>MC Chip development</t>
  </si>
  <si>
    <t>Chip application development</t>
  </si>
  <si>
    <t>Total Software</t>
  </si>
  <si>
    <t>Brand</t>
  </si>
  <si>
    <t>Website creation and branding</t>
  </si>
  <si>
    <t>Total CAPEX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</si>
</sst>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5">
    <numFmt numFmtId="7" formatCode="&quot;$&quot;#,##0.00_);\(&quot;$&quot;#,##0.00\)"/>
    <numFmt numFmtId="43" formatCode="_(* #,##0.00_);_(* \(#,##0.00\);_(* &quot;-&quot;??_);_(@_)"/>
    <numFmt numFmtId="164" formatCode="_(&quot;£&quot;* #,##0.00_);_(&quot;£&quot;* \(#,##0.00\);_(&quot;£&quot;* &quot;-&quot;??_);_(@_)"/>
    <numFmt numFmtId="165" formatCode="_([$$-409]* #,##0.00_);_([$$-409]* \(#,##0.00\);_([$$-409]* &quot;-&quot;??_);_(@_)"/>
    <numFmt numFmtId="166" formatCode="&quot;$&quot;#,##0.00"/>
    <numFmt numFmtId="167" formatCode="0.0000"/>
    <numFmt numFmtId="168" formatCode="0.000%"/>
    <numFmt numFmtId="169" formatCode="0.0%"/>
    <numFmt numFmtId="170" formatCode="_([$$-409]* #,##0.0000_);_([$$-409]* \(#,##0.0000\);_([$$-409]* &quot;-&quot;??_);_(@_)"/>
    <numFmt numFmtId="171" formatCode="0.0\x"/>
    <numFmt numFmtId="172" formatCode="#,##0.0"/>
    <numFmt numFmtId="173" formatCode="0&quot;A&quot;"/>
    <numFmt numFmtId="174" formatCode="0&quot;E&quot;"/>
    <numFmt numFmtId="175" formatCode="0.0;\(0.0\)"/>
    <numFmt numFmtId="176" formatCode="#,##0.0;\(#,##0.0\);\-\-"/>
    <numFmt numFmtId="177" formatCode="yyyy"/>
    <numFmt numFmtId="178" formatCode="&quot;$&quot;_(#,##0_);&quot;$&quot;\(#,##0\);_(\-_);_(@_)"/>
    <numFmt numFmtId="179" formatCode="\€_(#,##0_);\€\(#,##0\);_(\-_);_(@_)"/>
    <numFmt numFmtId="180" formatCode="_(#,##0.00_);\(#,##0.00\);_(\-_);_(@_)"/>
    <numFmt numFmtId="181" formatCode="#,##0.0%_);\(#,##0.0%\);_(\-_)"/>
    <numFmt numFmtId="182" formatCode="#,##0.0\x_)"/>
    <numFmt numFmtId="183" formatCode="_(#,##0_);\(#,##0\);_(\-_);_(@_)"/>
    <numFmt numFmtId="184" formatCode="&quot;£&quot;#,##0.00"/>
    <numFmt numFmtId="185" formatCode=";;;"/>
    <numFmt numFmtId="186" formatCode="_(#,##0.0_);\(#,##0.0\);_(\-_);_(@_)"/>
    <numFmt numFmtId="187" formatCode="&quot;$&quot;_(#,##0.00_);&quot;$&quot;\(#,##0.00\);_(\-_);_(@_)"/>
    <numFmt numFmtId="188" formatCode="_-* #,##0.0_-;\-* #,##0.0_-;_-* &quot;-&quot;??_-;_-@_-"/>
    <numFmt numFmtId="189" formatCode="#,##0.0;\ \(#.0\);\-\ "/>
    <numFmt numFmtId="190" formatCode="#,##0;\ \(#\);\-\ "/>
    <numFmt numFmtId="191" formatCode="[$$-C09]#,##0.00"/>
    <numFmt numFmtId="192" formatCode="0.0"/>
    <numFmt numFmtId="193" formatCode="0.000"/>
    <numFmt numFmtId="194" formatCode="_([$$-409]* #,##0_);_([$$-409]* \(#,##0\);_([$$-409]* &quot;-&quot;??_);_(@_)"/>
    <numFmt numFmtId="195" formatCode="_-[$€-2]\ * #,##0.00_-;\-[$€-2]\ * #,##0.00_-;_-[$€-2]\ * &quot;-&quot;??_-;_-@_-"/>
    <numFmt numFmtId="196" formatCode="_([$$-409]* #,##0.00000_);_([$$-409]* \(#,##0.00000\);_([$$-409]* &quot;-&quot;??_);_(@_)"/>
  </numFmts>
  <fonts count="66">
    <font>
      <sz val="12"/>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sz val="12"/>
      <color theme="0"/>
      <name val="Calibri"/>
      <family val="2"/>
      <scheme val="minor"/>
    </font>
    <font>
      <sz val="12"/>
      <color rgb="FF000000"/>
      <name val="Calibri"/>
      <family val="2"/>
      <scheme val="minor"/>
    </font>
    <font>
      <sz val="10"/>
      <color rgb="FF000000"/>
      <name val="Calibri"/>
      <family val="2"/>
      <scheme val="minor"/>
    </font>
    <font>
      <b/>
      <sz val="12"/>
      <color theme="1"/>
      <name val="Arial"/>
      <family val="2"/>
    </font>
    <font>
      <sz val="10"/>
      <color theme="1"/>
      <name val="Arial"/>
      <family val="2"/>
    </font>
    <font>
      <b/>
      <sz val="10"/>
      <color theme="1"/>
      <name val="Arial"/>
      <family val="2"/>
    </font>
    <font>
      <sz val="12"/>
      <color theme="1"/>
      <name val="Arial"/>
      <family val="2"/>
    </font>
    <font>
      <b/>
      <sz val="12"/>
      <color theme="0"/>
      <name val="Calibri"/>
      <family val="2"/>
      <scheme val="minor"/>
    </font>
    <font>
      <sz val="12"/>
      <color rgb="FFAA5CFF"/>
      <name val="Calibri"/>
      <family val="2"/>
      <scheme val="minor"/>
    </font>
    <font>
      <sz val="12"/>
      <name val="Calibri"/>
      <family val="2"/>
      <scheme val="minor"/>
    </font>
    <font>
      <sz val="12"/>
      <color theme="1"/>
      <name val="Calibri"/>
      <family val="2"/>
      <charset val="204"/>
      <scheme val="minor"/>
    </font>
    <font>
      <b/>
      <sz val="20"/>
      <color theme="1"/>
      <name val="Calibri"/>
      <family val="2"/>
      <scheme val="minor"/>
    </font>
    <font>
      <b/>
      <sz val="12"/>
      <color theme="1"/>
      <name val="Calibri"/>
      <family val="2"/>
      <charset val="204"/>
      <scheme val="minor"/>
    </font>
    <font>
      <i/>
      <sz val="12"/>
      <color theme="2" tint="-0.249977111117893"/>
      <name val="Calibri"/>
      <family val="2"/>
      <charset val="204"/>
      <scheme val="minor"/>
    </font>
    <font>
      <sz val="12"/>
      <color rgb="FFFF0000"/>
      <name val="Calibri"/>
      <family val="2"/>
      <scheme val="minor"/>
    </font>
    <font>
      <b/>
      <i/>
      <sz val="12"/>
      <color theme="2" tint="-0.249977111117893"/>
      <name val="Calibri"/>
      <family val="2"/>
      <charset val="204"/>
      <scheme val="minor"/>
    </font>
    <font>
      <sz val="8"/>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0"/>
      <color theme="0"/>
      <name val="Calibri"/>
      <family val="2"/>
      <scheme val="minor"/>
    </font>
    <font>
      <sz val="10"/>
      <color theme="1"/>
      <name val="Calibri"/>
      <family val="2"/>
      <scheme val="minor"/>
    </font>
    <font>
      <b/>
      <sz val="10"/>
      <color theme="0" tint="-4.9989318521683403E-2"/>
      <name val="Calibri"/>
      <family val="2"/>
      <scheme val="minor"/>
    </font>
    <font>
      <sz val="10"/>
      <name val="Calibri"/>
      <family val="2"/>
      <scheme val="minor"/>
    </font>
    <font>
      <b/>
      <sz val="10"/>
      <name val="Calibri"/>
      <family val="2"/>
      <scheme val="minor"/>
    </font>
    <font>
      <b/>
      <u/>
      <sz val="10"/>
      <color rgb="FF0000FF"/>
      <name val="Calibri"/>
      <family val="2"/>
      <scheme val="minor"/>
    </font>
    <font>
      <b/>
      <sz val="10"/>
      <color rgb="FF0000FF"/>
      <name val="Calibri"/>
      <family val="2"/>
      <scheme val="minor"/>
    </font>
    <font>
      <sz val="10"/>
      <color rgb="FF00B050"/>
      <name val="Calibri"/>
      <family val="2"/>
      <scheme val="minor"/>
    </font>
    <font>
      <b/>
      <sz val="10"/>
      <color rgb="FF00B050"/>
      <name val="Calibri"/>
      <family val="2"/>
      <scheme val="minor"/>
    </font>
    <font>
      <b/>
      <sz val="10"/>
      <color theme="0"/>
      <name val="Calibri"/>
      <family val="2"/>
      <scheme val="minor"/>
    </font>
    <font>
      <i/>
      <sz val="10"/>
      <name val="Calibri"/>
      <family val="2"/>
      <scheme val="minor"/>
    </font>
    <font>
      <b/>
      <sz val="10"/>
      <color theme="1"/>
      <name val="Calibri"/>
      <family val="2"/>
      <scheme val="minor"/>
    </font>
    <font>
      <i/>
      <sz val="10"/>
      <color theme="1"/>
      <name val="Calibri"/>
      <family val="2"/>
      <scheme val="minor"/>
    </font>
    <font>
      <sz val="10"/>
      <color rgb="FF0000FF"/>
      <name val="Calibri"/>
      <family val="2"/>
      <scheme val="minor"/>
    </font>
    <font>
      <b/>
      <sz val="16"/>
      <color theme="0"/>
      <name val="Calibri"/>
      <family val="2"/>
      <scheme val="minor"/>
    </font>
    <font>
      <sz val="10"/>
      <color rgb="FF000000"/>
      <name val="Arial"/>
      <family val="2"/>
    </font>
    <font>
      <b/>
      <sz val="10"/>
      <color rgb="FF000000"/>
      <name val="Calibri"/>
      <family val="2"/>
      <scheme val="minor"/>
    </font>
    <font>
      <i/>
      <sz val="10"/>
      <color rgb="FF000000"/>
      <name val="Calibri"/>
      <family val="2"/>
      <scheme val="minor"/>
    </font>
    <font>
      <sz val="10"/>
      <color theme="1"/>
      <name val="Calibri"/>
      <family val="2"/>
    </font>
    <font>
      <b/>
      <sz val="10"/>
      <color rgb="FF008000"/>
      <name val="Calibri"/>
      <family val="2"/>
      <scheme val="minor"/>
    </font>
    <font>
      <sz val="10"/>
      <color rgb="FF008000"/>
      <name val="Calibri"/>
      <family val="2"/>
      <scheme val="minor"/>
    </font>
    <font>
      <u val="singleAccounting"/>
      <sz val="11"/>
      <color theme="1"/>
      <name val="Calibri"/>
      <family val="2"/>
      <scheme val="minor"/>
    </font>
    <font>
      <b/>
      <sz val="11"/>
      <color rgb="FF00719D"/>
      <name val="Calibri"/>
      <family val="2"/>
      <scheme val="minor"/>
    </font>
    <font>
      <b/>
      <vertAlign val="superscript"/>
      <sz val="11"/>
      <color theme="0"/>
      <name val="Calibri"/>
      <family val="2"/>
      <scheme val="minor"/>
    </font>
    <font>
      <sz val="11"/>
      <color rgb="FF0000FF"/>
      <name val="Calibri"/>
      <family val="2"/>
      <scheme val="minor"/>
    </font>
    <font>
      <b/>
      <sz val="11"/>
      <name val="Calibri"/>
      <family val="2"/>
      <scheme val="minor"/>
    </font>
    <font>
      <b/>
      <u val="singleAccounting"/>
      <sz val="11"/>
      <name val="Calibri"/>
      <family val="2"/>
      <scheme val="minor"/>
    </font>
    <font>
      <b/>
      <u/>
      <sz val="11"/>
      <name val="Calibri"/>
      <family val="2"/>
      <scheme val="minor"/>
    </font>
    <font>
      <sz val="11"/>
      <color theme="2" tint="-0.499984740745262"/>
      <name val="Calibri"/>
      <family val="2"/>
      <scheme val="minor"/>
    </font>
    <font>
      <b/>
      <sz val="11"/>
      <color theme="0" tint="-0.499984740745262"/>
      <name val="Calibri"/>
      <family val="2"/>
      <scheme val="minor"/>
    </font>
    <font>
      <b/>
      <vertAlign val="superscript"/>
      <sz val="11"/>
      <color theme="0" tint="-0.499984740745262"/>
      <name val="Calibri"/>
      <family val="2"/>
      <scheme val="minor"/>
    </font>
    <font>
      <sz val="11"/>
      <color theme="0" tint="-0.499984740745262"/>
      <name val="Calibri"/>
      <family val="2"/>
      <scheme val="minor"/>
    </font>
    <font>
      <sz val="11"/>
      <color rgb="FF00B050"/>
      <name val="Calibri"/>
      <family val="2"/>
      <scheme val="minor"/>
    </font>
    <font>
      <sz val="10"/>
      <color theme="4"/>
      <name val="Calibri"/>
      <family val="2"/>
      <scheme val="minor"/>
    </font>
    <font>
      <sz val="12"/>
      <color theme="4"/>
      <name val="Calibri"/>
      <family val="2"/>
      <scheme val="minor"/>
    </font>
    <font>
      <b/>
      <i/>
      <sz val="12"/>
      <color theme="1"/>
      <name val="Calibri"/>
      <family val="2"/>
      <scheme val="minor"/>
    </font>
    <font>
      <b/>
      <u/>
      <sz val="12"/>
      <color theme="1"/>
      <name val="Calibri"/>
      <family val="2"/>
      <scheme val="minor"/>
    </font>
    <font>
      <sz val="11"/>
      <color theme="1"/>
      <name val="Calibri"/>
      <family val="2"/>
    </font>
    <font>
      <b/>
      <sz val="12"/>
      <color rgb="FFFF0000"/>
      <name val="Calibri"/>
      <family val="2"/>
      <scheme val="minor"/>
    </font>
    <font>
      <sz val="9"/>
      <color indexed="81"/>
      <name val="Tahoma"/>
      <family val="2"/>
    </font>
    <font>
      <b/>
      <sz val="9"/>
      <color indexed="81"/>
      <name val="Tahoma"/>
      <family val="2"/>
    </font>
    <font>
      <b/>
      <sz val="12"/>
      <name val="Calibri"/>
      <family val="2"/>
      <scheme val="minor"/>
    </font>
  </fonts>
  <fills count="20">
    <fill>
      <patternFill patternType="none"/>
    </fill>
    <fill>
      <patternFill patternType="gray125"/>
    </fill>
    <fill>
      <patternFill patternType="solid">
        <fgColor theme="0"/>
        <bgColor indexed="64"/>
      </patternFill>
    </fill>
    <fill>
      <patternFill patternType="solid">
        <fgColor rgb="FFAA5CFF"/>
        <bgColor indexed="64"/>
      </patternFill>
    </fill>
    <fill>
      <patternFill patternType="solid">
        <fgColor theme="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0" tint="-0.499984740745262"/>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3"/>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1"/>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3" tint="0.89999084444715716"/>
        <bgColor indexed="64"/>
      </patternFill>
    </fill>
    <fill>
      <patternFill patternType="solid">
        <fgColor theme="7"/>
        <bgColor indexed="64"/>
      </patternFill>
    </fill>
    <fill>
      <patternFill patternType="solid">
        <fgColor theme="0"/>
        <bgColor rgb="FF000000"/>
      </patternFill>
    </fill>
  </fills>
  <borders count="50">
    <border>
      <left/>
      <right/>
      <top/>
      <bottom/>
      <diagonal/>
    </border>
    <border>
      <left/>
      <right/>
      <top style="thin">
        <color indexed="64"/>
      </top>
      <bottom style="medium">
        <color indexed="64"/>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rgb="FF000000"/>
      </top>
      <bottom style="double">
        <color rgb="FF000000"/>
      </bottom>
      <diagonal/>
    </border>
    <border>
      <left style="thin">
        <color indexed="64"/>
      </left>
      <right/>
      <top style="thin">
        <color rgb="FF000000"/>
      </top>
      <bottom style="double">
        <color rgb="FF000000"/>
      </bottom>
      <diagonal/>
    </border>
    <border>
      <left/>
      <right style="thin">
        <color indexed="64"/>
      </right>
      <top style="thin">
        <color rgb="FF000000"/>
      </top>
      <bottom style="double">
        <color rgb="FF000000"/>
      </bottom>
      <diagonal/>
    </border>
    <border>
      <left/>
      <right/>
      <top/>
      <bottom style="double">
        <color indexed="64"/>
      </bottom>
      <diagonal/>
    </border>
    <border>
      <left/>
      <right/>
      <top/>
      <bottom style="thin">
        <color indexed="64"/>
      </bottom>
      <diagonal/>
    </border>
    <border>
      <left style="thin">
        <color theme="0"/>
      </left>
      <right style="dashed">
        <color theme="0" tint="-0.14996795556505021"/>
      </right>
      <top/>
      <bottom/>
      <diagonal/>
    </border>
    <border>
      <left/>
      <right style="thin">
        <color theme="0"/>
      </right>
      <top/>
      <bottom/>
      <diagonal/>
    </border>
    <border>
      <left style="thin">
        <color theme="0"/>
      </left>
      <right style="thin">
        <color theme="0"/>
      </right>
      <top/>
      <bottom/>
      <diagonal/>
    </border>
    <border>
      <left/>
      <right/>
      <top style="thin">
        <color theme="0" tint="-0.14996795556505021"/>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right/>
      <top style="thin">
        <color theme="3"/>
      </top>
      <bottom/>
      <diagonal/>
    </border>
    <border>
      <left style="dotted">
        <color theme="8"/>
      </left>
      <right style="dotted">
        <color theme="8"/>
      </right>
      <top style="dotted">
        <color theme="8"/>
      </top>
      <bottom style="dotted">
        <color theme="8"/>
      </bottom>
      <diagonal/>
    </border>
    <border>
      <left style="thin">
        <color indexed="64"/>
      </left>
      <right/>
      <top/>
      <bottom style="thin">
        <color indexed="64"/>
      </bottom>
      <diagonal/>
    </border>
    <border>
      <left style="dotted">
        <color auto="1"/>
      </left>
      <right/>
      <top style="dotted">
        <color auto="1"/>
      </top>
      <bottom/>
      <diagonal/>
    </border>
    <border>
      <left/>
      <right/>
      <top style="dotted">
        <color auto="1"/>
      </top>
      <bottom/>
      <diagonal/>
    </border>
    <border>
      <left/>
      <right style="dotted">
        <color auto="1"/>
      </right>
      <top style="dotted">
        <color auto="1"/>
      </top>
      <bottom/>
      <diagonal/>
    </border>
    <border>
      <left style="dotted">
        <color auto="1"/>
      </left>
      <right/>
      <top/>
      <bottom/>
      <diagonal/>
    </border>
    <border>
      <left/>
      <right style="dotted">
        <color auto="1"/>
      </right>
      <top/>
      <bottom/>
      <diagonal/>
    </border>
    <border>
      <left style="dotted">
        <color auto="1"/>
      </left>
      <right/>
      <top/>
      <bottom style="dotted">
        <color auto="1"/>
      </bottom>
      <diagonal/>
    </border>
    <border>
      <left/>
      <right/>
      <top/>
      <bottom style="dotted">
        <color auto="1"/>
      </bottom>
      <diagonal/>
    </border>
    <border>
      <left/>
      <right style="dotted">
        <color auto="1"/>
      </right>
      <top/>
      <bottom style="dotted">
        <color auto="1"/>
      </bottom>
      <diagonal/>
    </border>
    <border>
      <left/>
      <right/>
      <top/>
      <bottom style="thin">
        <color theme="3"/>
      </bottom>
      <diagonal/>
    </border>
    <border>
      <left/>
      <right style="thin">
        <color indexed="64"/>
      </right>
      <top/>
      <bottom style="thin">
        <color rgb="FF000000"/>
      </bottom>
      <diagonal/>
    </border>
    <border>
      <left style="thin">
        <color indexed="64"/>
      </left>
      <right style="thin">
        <color indexed="64"/>
      </right>
      <top style="thin">
        <color rgb="FF000000"/>
      </top>
      <bottom style="double">
        <color rgb="FF000000"/>
      </bottom>
      <diagonal/>
    </border>
    <border>
      <left/>
      <right style="thin">
        <color indexed="64"/>
      </right>
      <top style="medium">
        <color indexed="64"/>
      </top>
      <bottom/>
      <diagonal/>
    </border>
    <border>
      <left style="thin">
        <color indexed="64"/>
      </left>
      <right style="thin">
        <color indexed="64"/>
      </right>
      <top style="medium">
        <color indexed="64"/>
      </top>
      <bottom/>
      <diagonal/>
    </border>
  </borders>
  <cellStyleXfs count="8">
    <xf numFmtId="0" fontId="0" fillId="0" borderId="0"/>
    <xf numFmtId="9" fontId="2" fillId="0" borderId="0" applyFont="0" applyFill="0" applyBorder="0" applyAlignment="0" applyProtection="0"/>
    <xf numFmtId="0" fontId="6" fillId="0" borderId="0"/>
    <xf numFmtId="43" fontId="2" fillId="0" borderId="0" applyFont="0" applyFill="0" applyBorder="0" applyAlignment="0" applyProtection="0"/>
    <xf numFmtId="164" fontId="2" fillId="0" borderId="0" applyFont="0" applyFill="0" applyBorder="0" applyAlignment="0" applyProtection="0"/>
    <xf numFmtId="0" fontId="1" fillId="0" borderId="0"/>
    <xf numFmtId="9" fontId="1" fillId="0" borderId="0" applyFont="0" applyFill="0" applyBorder="0" applyAlignment="0" applyProtection="0"/>
    <xf numFmtId="0" fontId="39" fillId="0" borderId="0"/>
  </cellStyleXfs>
  <cellXfs count="499">
    <xf numFmtId="0" fontId="0" fillId="0" borderId="0" xfId="0"/>
    <xf numFmtId="0" fontId="3" fillId="2" borderId="0" xfId="0" applyFont="1" applyFill="1"/>
    <xf numFmtId="0" fontId="0" fillId="2" borderId="0" xfId="0" applyFill="1"/>
    <xf numFmtId="0" fontId="0" fillId="2" borderId="0" xfId="0" applyFill="1" applyAlignment="1">
      <alignment horizontal="left" indent="1"/>
    </xf>
    <xf numFmtId="9" fontId="0" fillId="2" borderId="0" xfId="1" applyFont="1" applyFill="1" applyBorder="1"/>
    <xf numFmtId="0" fontId="3" fillId="2" borderId="0" xfId="0" applyFont="1" applyFill="1" applyAlignment="1">
      <alignment horizontal="left" indent="1"/>
    </xf>
    <xf numFmtId="0" fontId="3" fillId="0" borderId="0" xfId="0" applyFont="1"/>
    <xf numFmtId="0" fontId="3" fillId="2" borderId="1" xfId="0" applyFont="1" applyFill="1" applyBorder="1" applyAlignment="1">
      <alignment horizontal="left" indent="1"/>
    </xf>
    <xf numFmtId="165" fontId="3" fillId="2" borderId="1" xfId="0" applyNumberFormat="1" applyFont="1" applyFill="1" applyBorder="1"/>
    <xf numFmtId="0" fontId="3" fillId="2" borderId="0" xfId="0" applyFont="1" applyFill="1" applyAlignment="1">
      <alignment horizontal="left"/>
    </xf>
    <xf numFmtId="0" fontId="5" fillId="2" borderId="0" xfId="0" applyFont="1" applyFill="1" applyAlignment="1">
      <alignment horizontal="left" indent="1"/>
    </xf>
    <xf numFmtId="0" fontId="3" fillId="2" borderId="2" xfId="0" applyFont="1" applyFill="1" applyBorder="1" applyAlignment="1">
      <alignment horizontal="left"/>
    </xf>
    <xf numFmtId="165" fontId="3" fillId="2" borderId="2" xfId="0" applyNumberFormat="1" applyFont="1" applyFill="1" applyBorder="1"/>
    <xf numFmtId="0" fontId="0" fillId="2" borderId="5" xfId="0" applyFill="1" applyBorder="1"/>
    <xf numFmtId="0" fontId="3" fillId="2" borderId="5" xfId="0" applyFont="1" applyFill="1" applyBorder="1"/>
    <xf numFmtId="0" fontId="3" fillId="2" borderId="6" xfId="0" applyFont="1" applyFill="1" applyBorder="1"/>
    <xf numFmtId="165" fontId="0" fillId="2" borderId="5" xfId="0" applyNumberFormat="1" applyFill="1" applyBorder="1"/>
    <xf numFmtId="0" fontId="3" fillId="2" borderId="7" xfId="0" applyFont="1" applyFill="1" applyBorder="1"/>
    <xf numFmtId="165" fontId="3" fillId="2" borderId="0" xfId="0" applyNumberFormat="1" applyFont="1" applyFill="1"/>
    <xf numFmtId="0" fontId="0" fillId="2" borderId="11" xfId="0" applyFill="1" applyBorder="1"/>
    <xf numFmtId="1" fontId="0" fillId="2" borderId="0" xfId="0" applyNumberFormat="1" applyFill="1"/>
    <xf numFmtId="0" fontId="0" fillId="2" borderId="12" xfId="0" applyFill="1" applyBorder="1"/>
    <xf numFmtId="165" fontId="0" fillId="2" borderId="11" xfId="0" applyNumberFormat="1" applyFill="1" applyBorder="1"/>
    <xf numFmtId="165" fontId="0" fillId="2" borderId="0" xfId="0" applyNumberFormat="1" applyFill="1"/>
    <xf numFmtId="165" fontId="0" fillId="2" borderId="12" xfId="0" applyNumberFormat="1" applyFill="1" applyBorder="1"/>
    <xf numFmtId="1" fontId="0" fillId="2" borderId="12" xfId="0" applyNumberFormat="1" applyFill="1" applyBorder="1"/>
    <xf numFmtId="165" fontId="3" fillId="2" borderId="12" xfId="0" applyNumberFormat="1" applyFont="1" applyFill="1" applyBorder="1"/>
    <xf numFmtId="165" fontId="3" fillId="2" borderId="14" xfId="0" applyNumberFormat="1" applyFont="1" applyFill="1" applyBorder="1"/>
    <xf numFmtId="9" fontId="0" fillId="2" borderId="12" xfId="1" applyFont="1" applyFill="1" applyBorder="1"/>
    <xf numFmtId="9" fontId="0" fillId="2" borderId="0" xfId="0" applyNumberFormat="1" applyFill="1"/>
    <xf numFmtId="9" fontId="0" fillId="2" borderId="12" xfId="0" applyNumberFormat="1" applyFill="1" applyBorder="1"/>
    <xf numFmtId="0" fontId="3" fillId="2" borderId="12" xfId="0" applyFont="1" applyFill="1" applyBorder="1"/>
    <xf numFmtId="165" fontId="3" fillId="2" borderId="16" xfId="0" applyNumberFormat="1" applyFont="1" applyFill="1" applyBorder="1"/>
    <xf numFmtId="0" fontId="4" fillId="3" borderId="0" xfId="0" applyFont="1" applyFill="1"/>
    <xf numFmtId="0" fontId="4" fillId="3" borderId="4" xfId="0" applyFont="1" applyFill="1" applyBorder="1"/>
    <xf numFmtId="17" fontId="4" fillId="3" borderId="8" xfId="0" applyNumberFormat="1" applyFont="1" applyFill="1" applyBorder="1"/>
    <xf numFmtId="17" fontId="4" fillId="3" borderId="9" xfId="0" applyNumberFormat="1" applyFont="1" applyFill="1" applyBorder="1"/>
    <xf numFmtId="17" fontId="4" fillId="3" borderId="10" xfId="0" applyNumberFormat="1" applyFont="1" applyFill="1" applyBorder="1"/>
    <xf numFmtId="1" fontId="3" fillId="2" borderId="0" xfId="0" applyNumberFormat="1" applyFont="1" applyFill="1"/>
    <xf numFmtId="0" fontId="0" fillId="2" borderId="4" xfId="0" applyFill="1" applyBorder="1"/>
    <xf numFmtId="0" fontId="3" fillId="2" borderId="3" xfId="0" applyFont="1" applyFill="1" applyBorder="1"/>
    <xf numFmtId="0" fontId="3" fillId="0" borderId="3" xfId="0" applyFont="1" applyBorder="1"/>
    <xf numFmtId="0" fontId="0" fillId="0" borderId="11" xfId="0" applyBorder="1"/>
    <xf numFmtId="165" fontId="12" fillId="2" borderId="0" xfId="0" applyNumberFormat="1" applyFont="1" applyFill="1"/>
    <xf numFmtId="10" fontId="12" fillId="2" borderId="0" xfId="0" applyNumberFormat="1" applyFont="1" applyFill="1"/>
    <xf numFmtId="10" fontId="12" fillId="2" borderId="12" xfId="0" applyNumberFormat="1" applyFont="1" applyFill="1" applyBorder="1"/>
    <xf numFmtId="165" fontId="12" fillId="2" borderId="12" xfId="0" applyNumberFormat="1" applyFont="1" applyFill="1" applyBorder="1"/>
    <xf numFmtId="0" fontId="0" fillId="0" borderId="5" xfId="0" applyBorder="1"/>
    <xf numFmtId="0" fontId="0" fillId="2" borderId="18" xfId="0" applyFill="1" applyBorder="1"/>
    <xf numFmtId="168" fontId="12" fillId="2" borderId="0" xfId="0" applyNumberFormat="1" applyFont="1" applyFill="1"/>
    <xf numFmtId="168" fontId="12" fillId="2" borderId="12" xfId="0" applyNumberFormat="1" applyFont="1" applyFill="1" applyBorder="1"/>
    <xf numFmtId="10" fontId="12" fillId="4" borderId="0" xfId="0" applyNumberFormat="1" applyFont="1" applyFill="1"/>
    <xf numFmtId="168" fontId="12" fillId="0" borderId="0" xfId="0" applyNumberFormat="1" applyFont="1"/>
    <xf numFmtId="168" fontId="12" fillId="0" borderId="12" xfId="0" applyNumberFormat="1" applyFont="1" applyBorder="1"/>
    <xf numFmtId="10" fontId="12" fillId="4" borderId="12" xfId="0" applyNumberFormat="1" applyFont="1" applyFill="1" applyBorder="1"/>
    <xf numFmtId="170" fontId="0" fillId="2" borderId="0" xfId="0" applyNumberFormat="1" applyFill="1"/>
    <xf numFmtId="170" fontId="0" fillId="2" borderId="12" xfId="0" applyNumberFormat="1" applyFill="1" applyBorder="1"/>
    <xf numFmtId="170" fontId="3" fillId="2" borderId="0" xfId="0" applyNumberFormat="1" applyFont="1" applyFill="1"/>
    <xf numFmtId="170" fontId="3" fillId="2" borderId="12" xfId="0" applyNumberFormat="1" applyFont="1" applyFill="1" applyBorder="1"/>
    <xf numFmtId="0" fontId="0" fillId="7" borderId="0" xfId="0" applyFill="1"/>
    <xf numFmtId="0" fontId="8" fillId="0" borderId="0" xfId="0" applyFont="1"/>
    <xf numFmtId="0" fontId="6" fillId="2" borderId="0" xfId="0" applyFont="1" applyFill="1"/>
    <xf numFmtId="0" fontId="8" fillId="2" borderId="0" xfId="0" applyFont="1" applyFill="1"/>
    <xf numFmtId="0" fontId="7" fillId="2" borderId="0" xfId="0" applyFont="1" applyFill="1"/>
    <xf numFmtId="0" fontId="9" fillId="2" borderId="1" xfId="0" applyFont="1" applyFill="1" applyBorder="1"/>
    <xf numFmtId="0" fontId="6" fillId="2" borderId="11" xfId="0" applyFont="1" applyFill="1" applyBorder="1"/>
    <xf numFmtId="0" fontId="6" fillId="2" borderId="12" xfId="0" applyFont="1" applyFill="1" applyBorder="1"/>
    <xf numFmtId="0" fontId="10" fillId="2" borderId="11" xfId="0" applyFont="1" applyFill="1" applyBorder="1"/>
    <xf numFmtId="0" fontId="8" fillId="2" borderId="5" xfId="0" applyFont="1" applyFill="1" applyBorder="1" applyAlignment="1">
      <alignment horizontal="left" vertical="top"/>
    </xf>
    <xf numFmtId="0" fontId="8" fillId="2" borderId="5" xfId="0" applyFont="1" applyFill="1" applyBorder="1" applyAlignment="1">
      <alignment horizontal="left" indent="1"/>
    </xf>
    <xf numFmtId="0" fontId="9" fillId="2" borderId="6" xfId="0" applyFont="1" applyFill="1" applyBorder="1" applyAlignment="1">
      <alignment horizontal="left" indent="1"/>
    </xf>
    <xf numFmtId="0" fontId="6" fillId="2" borderId="5" xfId="0" applyFont="1" applyFill="1" applyBorder="1"/>
    <xf numFmtId="0" fontId="4" fillId="2" borderId="0" xfId="0" applyFont="1" applyFill="1" applyAlignment="1">
      <alignment horizontal="left" indent="1"/>
    </xf>
    <xf numFmtId="0" fontId="0" fillId="0" borderId="12" xfId="0" applyBorder="1"/>
    <xf numFmtId="0" fontId="3" fillId="2" borderId="21" xfId="0" applyFont="1" applyFill="1" applyBorder="1" applyAlignment="1">
      <alignment horizontal="left" indent="1"/>
    </xf>
    <xf numFmtId="0" fontId="3" fillId="0" borderId="5" xfId="0" applyFont="1" applyBorder="1"/>
    <xf numFmtId="169" fontId="12" fillId="2" borderId="0" xfId="0" applyNumberFormat="1" applyFont="1" applyFill="1"/>
    <xf numFmtId="169" fontId="12" fillId="2" borderId="12" xfId="0" applyNumberFormat="1" applyFont="1" applyFill="1" applyBorder="1"/>
    <xf numFmtId="1" fontId="12" fillId="2" borderId="0" xfId="0" applyNumberFormat="1" applyFont="1" applyFill="1"/>
    <xf numFmtId="165" fontId="4" fillId="2" borderId="11" xfId="0" applyNumberFormat="1" applyFont="1" applyFill="1" applyBorder="1" applyAlignment="1">
      <alignment horizontal="right"/>
    </xf>
    <xf numFmtId="165" fontId="4" fillId="2" borderId="0" xfId="0" applyNumberFormat="1" applyFont="1" applyFill="1" applyAlignment="1">
      <alignment horizontal="right"/>
    </xf>
    <xf numFmtId="165" fontId="4" fillId="2" borderId="12" xfId="0" applyNumberFormat="1" applyFont="1" applyFill="1" applyBorder="1" applyAlignment="1">
      <alignment horizontal="right"/>
    </xf>
    <xf numFmtId="0" fontId="4" fillId="3" borderId="20" xfId="0" applyFont="1" applyFill="1" applyBorder="1"/>
    <xf numFmtId="17" fontId="4" fillId="3" borderId="20" xfId="0" applyNumberFormat="1" applyFont="1" applyFill="1" applyBorder="1" applyAlignment="1">
      <alignment horizontal="right"/>
    </xf>
    <xf numFmtId="17" fontId="4" fillId="3" borderId="21" xfId="0" applyNumberFormat="1" applyFont="1" applyFill="1" applyBorder="1" applyAlignment="1">
      <alignment horizontal="right"/>
    </xf>
    <xf numFmtId="17" fontId="4" fillId="3" borderId="19" xfId="0" applyNumberFormat="1" applyFont="1" applyFill="1" applyBorder="1" applyAlignment="1">
      <alignment horizontal="right"/>
    </xf>
    <xf numFmtId="0" fontId="3" fillId="2" borderId="16" xfId="0" applyFont="1" applyFill="1" applyBorder="1" applyAlignment="1">
      <alignment horizontal="left" indent="1"/>
    </xf>
    <xf numFmtId="0" fontId="3" fillId="2" borderId="22" xfId="0" applyFont="1" applyFill="1" applyBorder="1" applyAlignment="1">
      <alignment horizontal="left" indent="1"/>
    </xf>
    <xf numFmtId="165" fontId="0" fillId="0" borderId="0" xfId="0" applyNumberFormat="1"/>
    <xf numFmtId="0" fontId="0" fillId="8" borderId="0" xfId="0" applyFill="1"/>
    <xf numFmtId="0" fontId="16" fillId="0" borderId="0" xfId="0" applyFont="1"/>
    <xf numFmtId="0" fontId="16" fillId="0" borderId="25" xfId="0" applyFont="1" applyBorder="1"/>
    <xf numFmtId="165" fontId="16" fillId="0" borderId="25" xfId="0" applyNumberFormat="1" applyFont="1" applyBorder="1"/>
    <xf numFmtId="0" fontId="0" fillId="0" borderId="26" xfId="0" applyBorder="1"/>
    <xf numFmtId="0" fontId="16" fillId="8" borderId="0" xfId="0" applyFont="1" applyFill="1"/>
    <xf numFmtId="10" fontId="0" fillId="9" borderId="3" xfId="0" applyNumberFormat="1" applyFill="1" applyBorder="1"/>
    <xf numFmtId="0" fontId="17" fillId="2" borderId="0" xfId="0" applyFont="1" applyFill="1" applyAlignment="1">
      <alignment horizontal="left" indent="1"/>
    </xf>
    <xf numFmtId="0" fontId="19" fillId="0" borderId="0" xfId="0" applyFont="1"/>
    <xf numFmtId="10" fontId="17" fillId="0" borderId="0" xfId="0" applyNumberFormat="1" applyFont="1"/>
    <xf numFmtId="43" fontId="0" fillId="0" borderId="0" xfId="3" applyFont="1"/>
    <xf numFmtId="43" fontId="0" fillId="0" borderId="0" xfId="0" applyNumberFormat="1"/>
    <xf numFmtId="168" fontId="0" fillId="9" borderId="3" xfId="0" applyNumberFormat="1" applyFill="1" applyBorder="1"/>
    <xf numFmtId="0" fontId="24" fillId="10" borderId="0" xfId="0" applyFont="1" applyFill="1"/>
    <xf numFmtId="0" fontId="25" fillId="0" borderId="0" xfId="0" applyFont="1"/>
    <xf numFmtId="0" fontId="11" fillId="10" borderId="0" xfId="0" applyFont="1" applyFill="1"/>
    <xf numFmtId="0" fontId="26" fillId="10" borderId="0" xfId="0" applyFont="1" applyFill="1"/>
    <xf numFmtId="0" fontId="27" fillId="2" borderId="0" xfId="0" applyFont="1" applyFill="1"/>
    <xf numFmtId="0" fontId="28" fillId="11" borderId="0" xfId="0" applyFont="1" applyFill="1"/>
    <xf numFmtId="0" fontId="27" fillId="11" borderId="0" xfId="0" applyFont="1" applyFill="1"/>
    <xf numFmtId="0" fontId="28" fillId="2" borderId="0" xfId="0" applyFont="1" applyFill="1"/>
    <xf numFmtId="171" fontId="29" fillId="0" borderId="0" xfId="0" applyNumberFormat="1" applyFont="1"/>
    <xf numFmtId="171" fontId="27" fillId="2" borderId="0" xfId="0" applyNumberFormat="1" applyFont="1" applyFill="1"/>
    <xf numFmtId="3" fontId="30" fillId="2" borderId="0" xfId="0" applyNumberFormat="1" applyFont="1" applyFill="1"/>
    <xf numFmtId="3" fontId="28" fillId="2" borderId="0" xfId="0" applyNumberFormat="1" applyFont="1" applyFill="1"/>
    <xf numFmtId="171" fontId="28" fillId="2" borderId="0" xfId="0" applyNumberFormat="1" applyFont="1" applyFill="1"/>
    <xf numFmtId="172" fontId="31" fillId="2" borderId="0" xfId="0" applyNumberFormat="1" applyFont="1" applyFill="1"/>
    <xf numFmtId="3" fontId="32" fillId="2" borderId="0" xfId="0" applyNumberFormat="1" applyFont="1" applyFill="1"/>
    <xf numFmtId="14" fontId="24" fillId="2" borderId="0" xfId="0" applyNumberFormat="1" applyFont="1" applyFill="1"/>
    <xf numFmtId="0" fontId="24" fillId="2" borderId="0" xfId="0" applyFont="1" applyFill="1"/>
    <xf numFmtId="173" fontId="33" fillId="10" borderId="27" xfId="0" applyNumberFormat="1" applyFont="1" applyFill="1" applyBorder="1"/>
    <xf numFmtId="174" fontId="33" fillId="10" borderId="28" xfId="0" applyNumberFormat="1" applyFont="1" applyFill="1" applyBorder="1"/>
    <xf numFmtId="174" fontId="33" fillId="10" borderId="29" xfId="0" applyNumberFormat="1" applyFont="1" applyFill="1" applyBorder="1"/>
    <xf numFmtId="0" fontId="27" fillId="2" borderId="30" xfId="0" applyFont="1" applyFill="1" applyBorder="1"/>
    <xf numFmtId="0" fontId="28" fillId="2" borderId="30" xfId="0" applyFont="1" applyFill="1" applyBorder="1"/>
    <xf numFmtId="175" fontId="28" fillId="2" borderId="30" xfId="0" applyNumberFormat="1" applyFont="1" applyFill="1" applyBorder="1"/>
    <xf numFmtId="175" fontId="25" fillId="0" borderId="30" xfId="0" applyNumberFormat="1" applyFont="1" applyBorder="1"/>
    <xf numFmtId="3" fontId="31" fillId="12" borderId="0" xfId="0" applyNumberFormat="1" applyFont="1" applyFill="1"/>
    <xf numFmtId="175" fontId="25" fillId="0" borderId="0" xfId="0" applyNumberFormat="1" applyFont="1"/>
    <xf numFmtId="0" fontId="34" fillId="2" borderId="0" xfId="0" applyFont="1" applyFill="1"/>
    <xf numFmtId="175" fontId="27" fillId="2" borderId="0" xfId="0" applyNumberFormat="1" applyFont="1" applyFill="1"/>
    <xf numFmtId="3" fontId="25" fillId="0" borderId="0" xfId="0" applyNumberFormat="1" applyFont="1"/>
    <xf numFmtId="175" fontId="28" fillId="2" borderId="0" xfId="0" applyNumberFormat="1" applyFont="1" applyFill="1"/>
    <xf numFmtId="176" fontId="25" fillId="0" borderId="0" xfId="0" applyNumberFormat="1" applyFont="1"/>
    <xf numFmtId="0" fontId="28" fillId="9" borderId="20" xfId="0" applyFont="1" applyFill="1" applyBorder="1"/>
    <xf numFmtId="0" fontId="35" fillId="9" borderId="21" xfId="0" applyFont="1" applyFill="1" applyBorder="1"/>
    <xf numFmtId="9" fontId="35" fillId="9" borderId="19" xfId="0" applyNumberFormat="1" applyFont="1" applyFill="1" applyBorder="1"/>
    <xf numFmtId="171" fontId="35" fillId="9" borderId="19" xfId="0" applyNumberFormat="1" applyFont="1" applyFill="1" applyBorder="1"/>
    <xf numFmtId="176" fontId="36" fillId="0" borderId="0" xfId="0" applyNumberFormat="1" applyFont="1"/>
    <xf numFmtId="9" fontId="28" fillId="9" borderId="19" xfId="0" applyNumberFormat="1" applyFont="1" applyFill="1" applyBorder="1"/>
    <xf numFmtId="176" fontId="27" fillId="0" borderId="0" xfId="0" applyNumberFormat="1" applyFont="1"/>
    <xf numFmtId="0" fontId="35" fillId="0" borderId="0" xfId="0" applyFont="1"/>
    <xf numFmtId="176" fontId="35" fillId="0" borderId="0" xfId="0" applyNumberFormat="1" applyFont="1"/>
    <xf numFmtId="171" fontId="35" fillId="0" borderId="0" xfId="0" applyNumberFormat="1" applyFont="1"/>
    <xf numFmtId="9" fontId="37" fillId="5" borderId="0" xfId="0" applyNumberFormat="1" applyFont="1" applyFill="1"/>
    <xf numFmtId="9" fontId="25" fillId="0" borderId="0" xfId="0" applyNumberFormat="1" applyFont="1"/>
    <xf numFmtId="9" fontId="25" fillId="13" borderId="0" xfId="0" applyNumberFormat="1" applyFont="1" applyFill="1"/>
    <xf numFmtId="0" fontId="35" fillId="0" borderId="0" xfId="0" applyFont="1" applyAlignment="1">
      <alignment horizontal="right"/>
    </xf>
    <xf numFmtId="176" fontId="24" fillId="0" borderId="0" xfId="0" applyNumberFormat="1" applyFont="1"/>
    <xf numFmtId="172" fontId="25" fillId="13" borderId="0" xfId="0" applyNumberFormat="1" applyFont="1" applyFill="1"/>
    <xf numFmtId="172" fontId="25" fillId="0" borderId="0" xfId="0" applyNumberFormat="1" applyFont="1"/>
    <xf numFmtId="17" fontId="23" fillId="0" borderId="0" xfId="0" applyNumberFormat="1" applyFont="1" applyAlignment="1">
      <alignment horizontal="right" vertical="center"/>
    </xf>
    <xf numFmtId="0" fontId="0" fillId="0" borderId="0" xfId="0" applyAlignment="1" applyProtection="1">
      <alignment vertical="center"/>
      <protection locked="0"/>
    </xf>
    <xf numFmtId="0" fontId="25" fillId="0" borderId="0" xfId="5" applyFont="1"/>
    <xf numFmtId="0" fontId="11" fillId="10" borderId="26" xfId="0" applyFont="1" applyFill="1" applyBorder="1"/>
    <xf numFmtId="0" fontId="0" fillId="10" borderId="0" xfId="0" applyFill="1" applyAlignment="1" applyProtection="1">
      <alignment vertical="center"/>
      <protection locked="0"/>
    </xf>
    <xf numFmtId="0" fontId="38" fillId="10" borderId="26" xfId="0" applyFont="1" applyFill="1" applyBorder="1"/>
    <xf numFmtId="0" fontId="11" fillId="10" borderId="26" xfId="0" applyFont="1" applyFill="1" applyBorder="1" applyAlignment="1">
      <alignment horizontal="right"/>
    </xf>
    <xf numFmtId="0" fontId="0" fillId="10" borderId="0" xfId="0" applyFill="1" applyAlignment="1">
      <alignment vertical="center"/>
    </xf>
    <xf numFmtId="0" fontId="21" fillId="10" borderId="0" xfId="0" applyFont="1" applyFill="1" applyAlignment="1">
      <alignment vertical="center"/>
    </xf>
    <xf numFmtId="0" fontId="33" fillId="0" borderId="31" xfId="5" applyFont="1" applyBorder="1" applyAlignment="1">
      <alignment horizontal="centerContinuous"/>
    </xf>
    <xf numFmtId="0" fontId="33" fillId="10" borderId="32" xfId="5" applyFont="1" applyFill="1" applyBorder="1" applyAlignment="1">
      <alignment horizontal="centerContinuous"/>
    </xf>
    <xf numFmtId="0" fontId="24" fillId="10" borderId="32" xfId="5" applyFont="1" applyFill="1" applyBorder="1" applyAlignment="1">
      <alignment horizontal="centerContinuous"/>
    </xf>
    <xf numFmtId="0" fontId="33" fillId="0" borderId="33" xfId="6" applyNumberFormat="1" applyFont="1" applyFill="1" applyBorder="1" applyAlignment="1">
      <alignment horizontal="center"/>
    </xf>
    <xf numFmtId="0" fontId="33" fillId="10" borderId="0" xfId="5" applyFont="1" applyFill="1"/>
    <xf numFmtId="0" fontId="24" fillId="14" borderId="8" xfId="7" applyFont="1" applyFill="1" applyBorder="1"/>
    <xf numFmtId="0" fontId="24" fillId="14" borderId="9" xfId="7" applyFont="1" applyFill="1" applyBorder="1"/>
    <xf numFmtId="0" fontId="24" fillId="14" borderId="10" xfId="7" applyFont="1" applyFill="1" applyBorder="1"/>
    <xf numFmtId="0" fontId="6" fillId="0" borderId="11" xfId="7" applyFont="1" applyBorder="1"/>
    <xf numFmtId="0" fontId="6" fillId="0" borderId="0" xfId="7" applyFont="1"/>
    <xf numFmtId="179" fontId="6" fillId="0" borderId="12" xfId="7" applyNumberFormat="1" applyFont="1" applyBorder="1"/>
    <xf numFmtId="0" fontId="6" fillId="0" borderId="12" xfId="7" applyFont="1" applyBorder="1"/>
    <xf numFmtId="182" fontId="6" fillId="0" borderId="12" xfId="7" applyNumberFormat="1" applyFont="1" applyBorder="1"/>
    <xf numFmtId="183" fontId="6" fillId="0" borderId="12" xfId="7" applyNumberFormat="1" applyFont="1" applyBorder="1"/>
    <xf numFmtId="0" fontId="40" fillId="0" borderId="11" xfId="7" applyFont="1" applyBorder="1"/>
    <xf numFmtId="179" fontId="40" fillId="0" borderId="12" xfId="7" applyNumberFormat="1" applyFont="1" applyBorder="1"/>
    <xf numFmtId="181" fontId="37" fillId="5" borderId="0" xfId="5" applyNumberFormat="1" applyFont="1" applyFill="1"/>
    <xf numFmtId="0" fontId="40" fillId="15" borderId="11" xfId="7" applyFont="1" applyFill="1" applyBorder="1"/>
    <xf numFmtId="0" fontId="6" fillId="15" borderId="0" xfId="7" applyFont="1" applyFill="1"/>
    <xf numFmtId="179" fontId="40" fillId="15" borderId="12" xfId="7" applyNumberFormat="1" applyFont="1" applyFill="1" applyBorder="1"/>
    <xf numFmtId="0" fontId="41" fillId="0" borderId="11" xfId="7" applyFont="1" applyBorder="1"/>
    <xf numFmtId="181" fontId="37" fillId="0" borderId="0" xfId="5" applyNumberFormat="1" applyFont="1"/>
    <xf numFmtId="0" fontId="41" fillId="0" borderId="36" xfId="7" applyFont="1" applyBorder="1"/>
    <xf numFmtId="0" fontId="6" fillId="0" borderId="26" xfId="7" applyFont="1" applyBorder="1"/>
    <xf numFmtId="182" fontId="6" fillId="0" borderId="17" xfId="7" applyNumberFormat="1" applyFont="1" applyBorder="1"/>
    <xf numFmtId="179" fontId="33" fillId="10" borderId="0" xfId="5" applyNumberFormat="1" applyFont="1" applyFill="1"/>
    <xf numFmtId="0" fontId="35" fillId="0" borderId="0" xfId="5" applyFont="1"/>
    <xf numFmtId="0" fontId="42" fillId="0" borderId="0" xfId="5" applyFont="1"/>
    <xf numFmtId="178" fontId="43" fillId="0" borderId="0" xfId="5" applyNumberFormat="1" applyFont="1"/>
    <xf numFmtId="0" fontId="25" fillId="14" borderId="0" xfId="5" applyFont="1" applyFill="1"/>
    <xf numFmtId="184" fontId="25" fillId="14" borderId="0" xfId="5" applyNumberFormat="1" applyFont="1" applyFill="1" applyAlignment="1">
      <alignment horizontal="centerContinuous"/>
    </xf>
    <xf numFmtId="184" fontId="33" fillId="14" borderId="0" xfId="7" applyNumberFormat="1" applyFont="1" applyFill="1" applyAlignment="1">
      <alignment horizontal="centerContinuous" vertical="center"/>
    </xf>
    <xf numFmtId="184" fontId="33" fillId="14" borderId="0" xfId="7" applyNumberFormat="1" applyFont="1" applyFill="1" applyAlignment="1">
      <alignment horizontal="centerContinuous"/>
    </xf>
    <xf numFmtId="184" fontId="33" fillId="14" borderId="26" xfId="7" applyNumberFormat="1" applyFont="1" applyFill="1" applyBorder="1" applyAlignment="1">
      <alignment horizontal="centerContinuous"/>
    </xf>
    <xf numFmtId="0" fontId="36" fillId="0" borderId="0" xfId="5" applyFont="1" applyAlignment="1">
      <alignment horizontal="left" indent="1"/>
    </xf>
    <xf numFmtId="181" fontId="36" fillId="0" borderId="0" xfId="5" applyNumberFormat="1" applyFont="1"/>
    <xf numFmtId="185" fontId="25" fillId="0" borderId="0" xfId="5" applyNumberFormat="1" applyFont="1"/>
    <xf numFmtId="182" fontId="35" fillId="0" borderId="0" xfId="5" applyNumberFormat="1" applyFont="1" applyAlignment="1">
      <alignment horizontal="right"/>
    </xf>
    <xf numFmtId="182" fontId="35" fillId="5" borderId="0" xfId="5" applyNumberFormat="1" applyFont="1" applyFill="1" applyAlignment="1">
      <alignment horizontal="right"/>
    </xf>
    <xf numFmtId="181" fontId="35" fillId="0" borderId="0" xfId="5" applyNumberFormat="1" applyFont="1"/>
    <xf numFmtId="183" fontId="25" fillId="0" borderId="8" xfId="5" applyNumberFormat="1" applyFont="1" applyBorder="1"/>
    <xf numFmtId="183" fontId="25" fillId="0" borderId="9" xfId="5" applyNumberFormat="1" applyFont="1" applyBorder="1"/>
    <xf numFmtId="183" fontId="25" fillId="0" borderId="11" xfId="5" applyNumberFormat="1" applyFont="1" applyBorder="1"/>
    <xf numFmtId="183" fontId="25" fillId="0" borderId="0" xfId="5" applyNumberFormat="1" applyFont="1"/>
    <xf numFmtId="0" fontId="25" fillId="0" borderId="0" xfId="5" applyFont="1" applyAlignment="1">
      <alignment horizontal="right"/>
    </xf>
    <xf numFmtId="181" fontId="30" fillId="5" borderId="0" xfId="5" applyNumberFormat="1" applyFont="1" applyFill="1"/>
    <xf numFmtId="183" fontId="25" fillId="13" borderId="0" xfId="5" applyNumberFormat="1" applyFont="1" applyFill="1"/>
    <xf numFmtId="183" fontId="25" fillId="15" borderId="0" xfId="5" applyNumberFormat="1" applyFont="1" applyFill="1"/>
    <xf numFmtId="183" fontId="25" fillId="16" borderId="0" xfId="5" applyNumberFormat="1" applyFont="1" applyFill="1"/>
    <xf numFmtId="7" fontId="25" fillId="0" borderId="0" xfId="5" applyNumberFormat="1" applyFont="1"/>
    <xf numFmtId="9" fontId="36" fillId="0" borderId="0" xfId="5" applyNumberFormat="1" applyFont="1"/>
    <xf numFmtId="0" fontId="25" fillId="14" borderId="0" xfId="5" applyFont="1" applyFill="1" applyAlignment="1">
      <alignment vertical="center"/>
    </xf>
    <xf numFmtId="0" fontId="25" fillId="14" borderId="0" xfId="5" applyFont="1" applyFill="1" applyAlignment="1">
      <alignment horizontal="centerContinuous" vertical="center"/>
    </xf>
    <xf numFmtId="0" fontId="33" fillId="14" borderId="0" xfId="7" applyFont="1" applyFill="1" applyAlignment="1">
      <alignment horizontal="centerContinuous" vertical="center"/>
    </xf>
    <xf numFmtId="0" fontId="33" fillId="14" borderId="26" xfId="7" applyFont="1" applyFill="1" applyBorder="1" applyAlignment="1">
      <alignment horizontal="centerContinuous" vertical="center"/>
    </xf>
    <xf numFmtId="169" fontId="35" fillId="0" borderId="0" xfId="5" applyNumberFormat="1" applyFont="1" applyAlignment="1">
      <alignment horizontal="right"/>
    </xf>
    <xf numFmtId="169" fontId="30" fillId="5" borderId="0" xfId="5" applyNumberFormat="1" applyFont="1" applyFill="1" applyAlignment="1">
      <alignment horizontal="right"/>
    </xf>
    <xf numFmtId="0" fontId="0" fillId="0" borderId="0" xfId="0" applyAlignment="1">
      <alignment vertical="center"/>
    </xf>
    <xf numFmtId="0" fontId="27" fillId="0" borderId="0" xfId="5" applyFont="1"/>
    <xf numFmtId="0" fontId="27" fillId="0" borderId="0" xfId="5" applyFont="1" applyAlignment="1">
      <alignment horizontal="left" indent="1"/>
    </xf>
    <xf numFmtId="183" fontId="27" fillId="0" borderId="0" xfId="5" applyNumberFormat="1" applyFont="1"/>
    <xf numFmtId="178" fontId="35" fillId="0" borderId="0" xfId="5" applyNumberFormat="1" applyFont="1"/>
    <xf numFmtId="178" fontId="25" fillId="0" borderId="0" xfId="5" applyNumberFormat="1" applyFont="1"/>
    <xf numFmtId="0" fontId="25" fillId="0" borderId="0" xfId="5" applyFont="1" applyAlignment="1">
      <alignment horizontal="left" indent="1"/>
    </xf>
    <xf numFmtId="183" fontId="44" fillId="0" borderId="0" xfId="5" applyNumberFormat="1" applyFont="1"/>
    <xf numFmtId="186" fontId="37" fillId="0" borderId="0" xfId="5" applyNumberFormat="1" applyFont="1"/>
    <xf numFmtId="186" fontId="25" fillId="0" borderId="0" xfId="5" applyNumberFormat="1" applyFont="1"/>
    <xf numFmtId="0" fontId="28" fillId="11" borderId="0" xfId="5" applyFont="1" applyFill="1"/>
    <xf numFmtId="0" fontId="27" fillId="11" borderId="0" xfId="5" applyFont="1" applyFill="1"/>
    <xf numFmtId="181" fontId="33" fillId="10" borderId="0" xfId="5" applyNumberFormat="1" applyFont="1" applyFill="1"/>
    <xf numFmtId="0" fontId="35" fillId="0" borderId="26" xfId="5" applyFont="1" applyBorder="1" applyAlignment="1">
      <alignment horizontal="centerContinuous"/>
    </xf>
    <xf numFmtId="0" fontId="25" fillId="0" borderId="0" xfId="5" applyFont="1" applyAlignment="1">
      <alignment horizontal="centerContinuous"/>
    </xf>
    <xf numFmtId="182" fontId="27" fillId="0" borderId="0" xfId="5" applyNumberFormat="1" applyFont="1"/>
    <xf numFmtId="182" fontId="37" fillId="5" borderId="0" xfId="5" applyNumberFormat="1" applyFont="1" applyFill="1"/>
    <xf numFmtId="181" fontId="27" fillId="0" borderId="0" xfId="5" applyNumberFormat="1" applyFont="1"/>
    <xf numFmtId="179" fontId="25" fillId="11" borderId="37" xfId="5" applyNumberFormat="1" applyFont="1" applyFill="1" applyBorder="1"/>
    <xf numFmtId="179" fontId="25" fillId="11" borderId="38" xfId="5" applyNumberFormat="1" applyFont="1" applyFill="1" applyBorder="1"/>
    <xf numFmtId="179" fontId="25" fillId="11" borderId="39" xfId="5" applyNumberFormat="1" applyFont="1" applyFill="1" applyBorder="1"/>
    <xf numFmtId="183" fontId="25" fillId="11" borderId="40" xfId="5" applyNumberFormat="1" applyFont="1" applyFill="1" applyBorder="1"/>
    <xf numFmtId="183" fontId="25" fillId="11" borderId="0" xfId="5" applyNumberFormat="1" applyFont="1" applyFill="1"/>
    <xf numFmtId="183" fontId="25" fillId="11" borderId="41" xfId="5" applyNumberFormat="1" applyFont="1" applyFill="1" applyBorder="1"/>
    <xf numFmtId="183" fontId="25" fillId="11" borderId="42" xfId="5" applyNumberFormat="1" applyFont="1" applyFill="1" applyBorder="1"/>
    <xf numFmtId="183" fontId="25" fillId="11" borderId="43" xfId="5" applyNumberFormat="1" applyFont="1" applyFill="1" applyBorder="1"/>
    <xf numFmtId="183" fontId="25" fillId="11" borderId="44" xfId="5" applyNumberFormat="1" applyFont="1" applyFill="1" applyBorder="1"/>
    <xf numFmtId="181" fontId="25" fillId="11" borderId="37" xfId="5" applyNumberFormat="1" applyFont="1" applyFill="1" applyBorder="1"/>
    <xf numFmtId="181" fontId="25" fillId="11" borderId="38" xfId="5" applyNumberFormat="1" applyFont="1" applyFill="1" applyBorder="1"/>
    <xf numFmtId="181" fontId="25" fillId="11" borderId="39" xfId="5" applyNumberFormat="1" applyFont="1" applyFill="1" applyBorder="1"/>
    <xf numFmtId="187" fontId="25" fillId="11" borderId="38" xfId="5" applyNumberFormat="1" applyFont="1" applyFill="1" applyBorder="1" applyAlignment="1">
      <alignment horizontal="right"/>
    </xf>
    <xf numFmtId="187" fontId="25" fillId="11" borderId="39" xfId="5" applyNumberFormat="1" applyFont="1" applyFill="1" applyBorder="1" applyAlignment="1">
      <alignment horizontal="right"/>
    </xf>
    <xf numFmtId="181" fontId="25" fillId="11" borderId="40" xfId="5" applyNumberFormat="1" applyFont="1" applyFill="1" applyBorder="1"/>
    <xf numFmtId="181" fontId="25" fillId="11" borderId="0" xfId="5" applyNumberFormat="1" applyFont="1" applyFill="1"/>
    <xf numFmtId="181" fontId="25" fillId="11" borderId="41" xfId="5" applyNumberFormat="1" applyFont="1" applyFill="1" applyBorder="1"/>
    <xf numFmtId="187" fontId="25" fillId="11" borderId="0" xfId="5" applyNumberFormat="1" applyFont="1" applyFill="1" applyAlignment="1">
      <alignment horizontal="right"/>
    </xf>
    <xf numFmtId="187" fontId="25" fillId="11" borderId="41" xfId="5" applyNumberFormat="1" applyFont="1" applyFill="1" applyBorder="1" applyAlignment="1">
      <alignment horizontal="right"/>
    </xf>
    <xf numFmtId="181" fontId="25" fillId="11" borderId="42" xfId="5" applyNumberFormat="1" applyFont="1" applyFill="1" applyBorder="1"/>
    <xf numFmtId="181" fontId="25" fillId="11" borderId="43" xfId="5" applyNumberFormat="1" applyFont="1" applyFill="1" applyBorder="1"/>
    <xf numFmtId="181" fontId="25" fillId="11" borderId="44" xfId="5" applyNumberFormat="1" applyFont="1" applyFill="1" applyBorder="1"/>
    <xf numFmtId="187" fontId="25" fillId="11" borderId="43" xfId="5" applyNumberFormat="1" applyFont="1" applyFill="1" applyBorder="1" applyAlignment="1">
      <alignment horizontal="right"/>
    </xf>
    <xf numFmtId="187" fontId="25" fillId="11" borderId="44" xfId="5" applyNumberFormat="1" applyFont="1" applyFill="1" applyBorder="1" applyAlignment="1">
      <alignment horizontal="right"/>
    </xf>
    <xf numFmtId="182" fontId="25" fillId="11" borderId="37" xfId="5" applyNumberFormat="1" applyFont="1" applyFill="1" applyBorder="1"/>
    <xf numFmtId="182" fontId="25" fillId="11" borderId="38" xfId="5" applyNumberFormat="1" applyFont="1" applyFill="1" applyBorder="1"/>
    <xf numFmtId="182" fontId="25" fillId="11" borderId="39" xfId="5" applyNumberFormat="1" applyFont="1" applyFill="1" applyBorder="1"/>
    <xf numFmtId="182" fontId="25" fillId="11" borderId="40" xfId="5" applyNumberFormat="1" applyFont="1" applyFill="1" applyBorder="1"/>
    <xf numFmtId="182" fontId="25" fillId="11" borderId="0" xfId="5" applyNumberFormat="1" applyFont="1" applyFill="1"/>
    <xf numFmtId="182" fontId="25" fillId="11" borderId="41" xfId="5" applyNumberFormat="1" applyFont="1" applyFill="1" applyBorder="1"/>
    <xf numFmtId="182" fontId="25" fillId="11" borderId="42" xfId="5" applyNumberFormat="1" applyFont="1" applyFill="1" applyBorder="1"/>
    <xf numFmtId="182" fontId="25" fillId="11" borderId="43" xfId="5" applyNumberFormat="1" applyFont="1" applyFill="1" applyBorder="1"/>
    <xf numFmtId="182" fontId="25" fillId="11" borderId="44" xfId="5" applyNumberFormat="1" applyFont="1" applyFill="1" applyBorder="1"/>
    <xf numFmtId="0" fontId="22" fillId="0" borderId="26" xfId="0" applyFont="1" applyBorder="1" applyAlignment="1">
      <alignment horizontal="left" vertical="top"/>
    </xf>
    <xf numFmtId="0" fontId="45" fillId="0" borderId="26" xfId="0" applyFont="1" applyBorder="1" applyAlignment="1">
      <alignment horizontal="centerContinuous" vertical="top"/>
    </xf>
    <xf numFmtId="0" fontId="22" fillId="0" borderId="0" xfId="0" applyFont="1" applyAlignment="1">
      <alignment horizontal="left" vertical="top"/>
    </xf>
    <xf numFmtId="0" fontId="45" fillId="0" borderId="0" xfId="0" applyFont="1" applyAlignment="1">
      <alignment horizontal="centerContinuous" vertical="top"/>
    </xf>
    <xf numFmtId="0" fontId="22" fillId="0" borderId="0" xfId="0" applyFont="1"/>
    <xf numFmtId="0" fontId="21" fillId="10" borderId="0" xfId="0" applyFont="1" applyFill="1"/>
    <xf numFmtId="0" fontId="21" fillId="10" borderId="0" xfId="0" applyFont="1" applyFill="1" applyAlignment="1">
      <alignment horizontal="right"/>
    </xf>
    <xf numFmtId="0" fontId="21" fillId="10" borderId="45" xfId="0" applyFont="1" applyFill="1" applyBorder="1" applyAlignment="1">
      <alignment horizontal="right"/>
    </xf>
    <xf numFmtId="0" fontId="21" fillId="0" borderId="0" xfId="0" applyFont="1"/>
    <xf numFmtId="0" fontId="21" fillId="0" borderId="0" xfId="0" applyFont="1" applyAlignment="1">
      <alignment horizontal="right"/>
    </xf>
    <xf numFmtId="188" fontId="0" fillId="0" borderId="0" xfId="3" applyNumberFormat="1" applyFont="1"/>
    <xf numFmtId="189" fontId="0" fillId="0" borderId="0" xfId="0" applyNumberFormat="1"/>
    <xf numFmtId="171" fontId="0" fillId="0" borderId="0" xfId="0" applyNumberFormat="1"/>
    <xf numFmtId="9" fontId="48" fillId="6" borderId="0" xfId="0" applyNumberFormat="1" applyFont="1" applyFill="1"/>
    <xf numFmtId="190" fontId="49" fillId="0" borderId="0" xfId="0" applyNumberFormat="1" applyFont="1" applyAlignment="1">
      <alignment horizontal="right"/>
    </xf>
    <xf numFmtId="9" fontId="48" fillId="0" borderId="0" xfId="0" applyNumberFormat="1" applyFont="1"/>
    <xf numFmtId="190" fontId="0" fillId="0" borderId="0" xfId="0" applyNumberFormat="1"/>
    <xf numFmtId="190" fontId="49" fillId="0" borderId="0" xfId="0" applyNumberFormat="1" applyFont="1"/>
    <xf numFmtId="9" fontId="0" fillId="0" borderId="0" xfId="3" applyNumberFormat="1" applyFont="1"/>
    <xf numFmtId="9" fontId="0" fillId="0" borderId="0" xfId="3" applyNumberFormat="1" applyFont="1" applyFill="1"/>
    <xf numFmtId="0" fontId="22" fillId="0" borderId="26" xfId="0" applyFont="1" applyBorder="1"/>
    <xf numFmtId="0" fontId="50" fillId="17" borderId="0" xfId="0" applyFont="1" applyFill="1" applyAlignment="1">
      <alignment horizontal="centerContinuous" vertical="center"/>
    </xf>
    <xf numFmtId="0" fontId="50" fillId="17" borderId="0" xfId="0" applyFont="1" applyFill="1" applyAlignment="1">
      <alignment horizontal="centerContinuous"/>
    </xf>
    <xf numFmtId="0" fontId="51" fillId="17" borderId="0" xfId="0" applyFont="1" applyFill="1" applyAlignment="1">
      <alignment vertical="center"/>
    </xf>
    <xf numFmtId="0" fontId="52" fillId="17" borderId="0" xfId="0" applyFont="1" applyFill="1"/>
    <xf numFmtId="0" fontId="53" fillId="0" borderId="0" xfId="0" applyFont="1" applyAlignment="1">
      <alignment vertical="center"/>
    </xf>
    <xf numFmtId="0" fontId="52" fillId="0" borderId="0" xfId="0" applyFont="1"/>
    <xf numFmtId="171" fontId="56" fillId="5" borderId="0" xfId="0" applyNumberFormat="1" applyFont="1" applyFill="1"/>
    <xf numFmtId="178" fontId="37" fillId="0" borderId="34" xfId="5" applyNumberFormat="1" applyFont="1" applyBorder="1"/>
    <xf numFmtId="180" fontId="37" fillId="0" borderId="0" xfId="5" applyNumberFormat="1" applyFont="1"/>
    <xf numFmtId="181" fontId="57" fillId="0" borderId="0" xfId="5" applyNumberFormat="1" applyFont="1"/>
    <xf numFmtId="182" fontId="31" fillId="0" borderId="0" xfId="5" applyNumberFormat="1" applyFont="1"/>
    <xf numFmtId="0" fontId="37" fillId="0" borderId="35" xfId="5" applyFont="1" applyBorder="1"/>
    <xf numFmtId="177" fontId="33" fillId="10" borderId="33" xfId="6" quotePrefix="1" applyNumberFormat="1" applyFont="1" applyFill="1" applyBorder="1" applyAlignment="1">
      <alignment horizontal="center"/>
    </xf>
    <xf numFmtId="191" fontId="43" fillId="0" borderId="0" xfId="5" applyNumberFormat="1" applyFont="1"/>
    <xf numFmtId="191" fontId="25" fillId="0" borderId="0" xfId="5" applyNumberFormat="1" applyFont="1"/>
    <xf numFmtId="191" fontId="27" fillId="0" borderId="0" xfId="5" applyNumberFormat="1" applyFont="1"/>
    <xf numFmtId="191" fontId="35" fillId="0" borderId="9" xfId="5" applyNumberFormat="1" applyFont="1" applyBorder="1"/>
    <xf numFmtId="9" fontId="36" fillId="0" borderId="0" xfId="1" applyFont="1"/>
    <xf numFmtId="2" fontId="27" fillId="0" borderId="0" xfId="5" applyNumberFormat="1" applyFont="1"/>
    <xf numFmtId="2" fontId="25" fillId="0" borderId="0" xfId="5" applyNumberFormat="1" applyFont="1"/>
    <xf numFmtId="182" fontId="33" fillId="10" borderId="0" xfId="5" applyNumberFormat="1" applyFont="1" applyFill="1"/>
    <xf numFmtId="191" fontId="27" fillId="11" borderId="0" xfId="5" applyNumberFormat="1" applyFont="1" applyFill="1"/>
    <xf numFmtId="9" fontId="0" fillId="0" borderId="0" xfId="3" quotePrefix="1" applyNumberFormat="1" applyFont="1"/>
    <xf numFmtId="9" fontId="0" fillId="0" borderId="0" xfId="1" applyFont="1"/>
    <xf numFmtId="0" fontId="58" fillId="0" borderId="0" xfId="0" applyFont="1"/>
    <xf numFmtId="0" fontId="60" fillId="0" borderId="0" xfId="0" applyFont="1"/>
    <xf numFmtId="0" fontId="0" fillId="18" borderId="0" xfId="0" applyFill="1"/>
    <xf numFmtId="0" fontId="59" fillId="18" borderId="0" xfId="0" applyFont="1" applyFill="1"/>
    <xf numFmtId="4" fontId="0" fillId="0" borderId="0" xfId="0" applyNumberFormat="1"/>
    <xf numFmtId="0" fontId="61" fillId="0" borderId="0" xfId="0" applyFont="1" applyAlignment="1">
      <alignment horizontal="left" vertical="center" wrapText="1"/>
    </xf>
    <xf numFmtId="0" fontId="0" fillId="0" borderId="3" xfId="0" applyBorder="1" applyAlignment="1">
      <alignment vertical="center" wrapText="1"/>
    </xf>
    <xf numFmtId="165" fontId="0" fillId="0" borderId="3" xfId="4" applyNumberFormat="1" applyFont="1" applyBorder="1" applyAlignment="1">
      <alignment vertical="center"/>
    </xf>
    <xf numFmtId="165" fontId="0" fillId="2" borderId="3" xfId="4" applyNumberFormat="1" applyFont="1" applyFill="1" applyBorder="1" applyAlignment="1">
      <alignment vertical="center"/>
    </xf>
    <xf numFmtId="169" fontId="0" fillId="0" borderId="3" xfId="1" applyNumberFormat="1" applyFont="1" applyBorder="1" applyAlignment="1">
      <alignment vertical="center"/>
    </xf>
    <xf numFmtId="0" fontId="0" fillId="0" borderId="3" xfId="0" applyBorder="1" applyAlignment="1">
      <alignment vertical="center"/>
    </xf>
    <xf numFmtId="165" fontId="0" fillId="2" borderId="3" xfId="0" applyNumberFormat="1" applyFill="1" applyBorder="1" applyAlignment="1">
      <alignment vertical="center"/>
    </xf>
    <xf numFmtId="0" fontId="11" fillId="3" borderId="3" xfId="0" applyFont="1" applyFill="1" applyBorder="1" applyAlignment="1">
      <alignment vertical="center"/>
    </xf>
    <xf numFmtId="0" fontId="3" fillId="0" borderId="3" xfId="0" applyFont="1" applyBorder="1" applyAlignment="1">
      <alignment vertical="center"/>
    </xf>
    <xf numFmtId="10" fontId="0" fillId="2" borderId="3" xfId="0" applyNumberFormat="1" applyFill="1" applyBorder="1" applyAlignment="1">
      <alignment vertical="center"/>
    </xf>
    <xf numFmtId="169" fontId="0" fillId="2" borderId="3" xfId="0" applyNumberFormat="1" applyFill="1" applyBorder="1" applyAlignment="1">
      <alignment vertical="center"/>
    </xf>
    <xf numFmtId="9" fontId="0" fillId="0" borderId="3" xfId="1" applyFont="1" applyBorder="1" applyAlignment="1">
      <alignment vertical="center"/>
    </xf>
    <xf numFmtId="0" fontId="3" fillId="2" borderId="3" xfId="0" applyFont="1" applyFill="1" applyBorder="1" applyAlignment="1">
      <alignment horizontal="left" vertical="center"/>
    </xf>
    <xf numFmtId="0" fontId="3" fillId="5" borderId="3" xfId="0" applyFont="1" applyFill="1" applyBorder="1" applyAlignment="1">
      <alignment horizontal="left" vertical="center"/>
    </xf>
    <xf numFmtId="0" fontId="0" fillId="5" borderId="3" xfId="0" applyFill="1" applyBorder="1" applyAlignment="1">
      <alignment horizontal="left" vertical="center"/>
    </xf>
    <xf numFmtId="0" fontId="14" fillId="5" borderId="3" xfId="0" applyFont="1" applyFill="1" applyBorder="1" applyAlignment="1">
      <alignment horizontal="left" vertical="center"/>
    </xf>
    <xf numFmtId="10" fontId="2" fillId="2" borderId="3" xfId="0" applyNumberFormat="1" applyFont="1" applyFill="1" applyBorder="1" applyAlignment="1">
      <alignment vertical="center"/>
    </xf>
    <xf numFmtId="0" fontId="0" fillId="2" borderId="3" xfId="0" applyFill="1" applyBorder="1" applyAlignment="1">
      <alignment vertical="center"/>
    </xf>
    <xf numFmtId="10" fontId="2" fillId="0" borderId="3" xfId="0" applyNumberFormat="1" applyFont="1" applyBorder="1" applyAlignment="1">
      <alignment vertical="center"/>
    </xf>
    <xf numFmtId="165" fontId="2" fillId="2" borderId="3" xfId="4" applyNumberFormat="1" applyFont="1" applyFill="1" applyBorder="1" applyAlignment="1">
      <alignment vertical="center"/>
    </xf>
    <xf numFmtId="9" fontId="2" fillId="2" borderId="3" xfId="1" applyFont="1" applyFill="1" applyBorder="1" applyAlignment="1">
      <alignment vertical="center"/>
    </xf>
    <xf numFmtId="0" fontId="3" fillId="2" borderId="3" xfId="0" applyFont="1" applyFill="1" applyBorder="1" applyAlignment="1">
      <alignment vertical="center"/>
    </xf>
    <xf numFmtId="0" fontId="0" fillId="2" borderId="3" xfId="0" applyFill="1" applyBorder="1" applyAlignment="1">
      <alignment vertical="center" wrapText="1"/>
    </xf>
    <xf numFmtId="169" fontId="12" fillId="2" borderId="0" xfId="1" applyNumberFormat="1" applyFont="1" applyFill="1"/>
    <xf numFmtId="2" fontId="0" fillId="0" borderId="0" xfId="0" applyNumberFormat="1"/>
    <xf numFmtId="0" fontId="0" fillId="2" borderId="5" xfId="0" applyFill="1" applyBorder="1" applyAlignment="1">
      <alignment horizontal="left" indent="1"/>
    </xf>
    <xf numFmtId="0" fontId="3" fillId="2" borderId="6" xfId="0" applyFont="1" applyFill="1" applyBorder="1" applyAlignment="1">
      <alignment horizontal="left" indent="1"/>
    </xf>
    <xf numFmtId="192" fontId="3" fillId="0" borderId="6" xfId="0" applyNumberFormat="1" applyFont="1" applyBorder="1"/>
    <xf numFmtId="0" fontId="3" fillId="2" borderId="5" xfId="0" applyFont="1" applyFill="1" applyBorder="1" applyAlignment="1">
      <alignment horizontal="left"/>
    </xf>
    <xf numFmtId="0" fontId="3" fillId="2" borderId="7" xfId="0" applyFont="1" applyFill="1" applyBorder="1" applyAlignment="1">
      <alignment horizontal="left"/>
    </xf>
    <xf numFmtId="2" fontId="3" fillId="0" borderId="7" xfId="0" applyNumberFormat="1" applyFont="1" applyBorder="1"/>
    <xf numFmtId="192" fontId="0" fillId="0" borderId="5" xfId="0" applyNumberFormat="1" applyBorder="1"/>
    <xf numFmtId="165" fontId="13" fillId="0" borderId="0" xfId="0" applyNumberFormat="1" applyFont="1"/>
    <xf numFmtId="194" fontId="0" fillId="9" borderId="3" xfId="0" applyNumberFormat="1" applyFill="1" applyBorder="1" applyAlignment="1">
      <alignment horizontal="left"/>
    </xf>
    <xf numFmtId="0" fontId="0" fillId="12" borderId="3" xfId="0" applyFill="1" applyBorder="1" applyAlignment="1">
      <alignment vertical="center"/>
    </xf>
    <xf numFmtId="0" fontId="18" fillId="2" borderId="5" xfId="0" applyFont="1" applyFill="1" applyBorder="1"/>
    <xf numFmtId="0" fontId="62" fillId="2" borderId="11" xfId="0" applyFont="1" applyFill="1" applyBorder="1"/>
    <xf numFmtId="0" fontId="18" fillId="0" borderId="0" xfId="0" applyFont="1"/>
    <xf numFmtId="0" fontId="13" fillId="2" borderId="0" xfId="0" applyFont="1" applyFill="1" applyAlignment="1">
      <alignment horizontal="left" indent="1"/>
    </xf>
    <xf numFmtId="166" fontId="0" fillId="9" borderId="3" xfId="0" applyNumberFormat="1" applyFill="1" applyBorder="1"/>
    <xf numFmtId="192" fontId="0" fillId="0" borderId="0" xfId="0" applyNumberFormat="1"/>
    <xf numFmtId="192" fontId="3" fillId="0" borderId="0" xfId="0" applyNumberFormat="1" applyFont="1"/>
    <xf numFmtId="2" fontId="3" fillId="0" borderId="0" xfId="0" applyNumberFormat="1" applyFont="1"/>
    <xf numFmtId="0" fontId="3" fillId="0" borderId="21" xfId="0" applyFont="1" applyBorder="1"/>
    <xf numFmtId="192" fontId="3" fillId="0" borderId="1" xfId="0" applyNumberFormat="1" applyFont="1" applyBorder="1"/>
    <xf numFmtId="193" fontId="0" fillId="0" borderId="0" xfId="0" applyNumberFormat="1"/>
    <xf numFmtId="2" fontId="3" fillId="0" borderId="2" xfId="0" applyNumberFormat="1" applyFont="1" applyBorder="1"/>
    <xf numFmtId="193" fontId="0" fillId="0" borderId="5" xfId="0" applyNumberFormat="1" applyBorder="1"/>
    <xf numFmtId="1" fontId="3" fillId="2" borderId="12" xfId="0" applyNumberFormat="1" applyFont="1" applyFill="1" applyBorder="1"/>
    <xf numFmtId="0" fontId="0" fillId="9" borderId="3" xfId="0" applyFill="1" applyBorder="1" applyAlignment="1">
      <alignment horizontal="right"/>
    </xf>
    <xf numFmtId="0" fontId="16" fillId="2" borderId="0" xfId="0" applyFont="1" applyFill="1" applyAlignment="1">
      <alignment horizontal="left" indent="1"/>
    </xf>
    <xf numFmtId="10" fontId="17" fillId="2" borderId="0" xfId="0" applyNumberFormat="1" applyFont="1" applyFill="1"/>
    <xf numFmtId="0" fontId="4" fillId="2" borderId="0" xfId="0" applyFont="1" applyFill="1"/>
    <xf numFmtId="17" fontId="4" fillId="2" borderId="0" xfId="0" applyNumberFormat="1" applyFont="1" applyFill="1" applyAlignment="1">
      <alignment horizontal="right"/>
    </xf>
    <xf numFmtId="0" fontId="0" fillId="19" borderId="0" xfId="0" applyFill="1"/>
    <xf numFmtId="165" fontId="0" fillId="19" borderId="0" xfId="0" applyNumberFormat="1" applyFill="1"/>
    <xf numFmtId="165" fontId="18" fillId="2" borderId="0" xfId="0" applyNumberFormat="1" applyFont="1" applyFill="1"/>
    <xf numFmtId="0" fontId="16" fillId="2" borderId="0" xfId="0" applyFont="1" applyFill="1"/>
    <xf numFmtId="165" fontId="16" fillId="2" borderId="0" xfId="0" applyNumberFormat="1" applyFont="1" applyFill="1"/>
    <xf numFmtId="165" fontId="3" fillId="19" borderId="0" xfId="0" applyNumberFormat="1" applyFont="1" applyFill="1"/>
    <xf numFmtId="169" fontId="2" fillId="0" borderId="3" xfId="1" applyNumberFormat="1" applyFont="1" applyBorder="1" applyAlignment="1">
      <alignment vertical="center"/>
    </xf>
    <xf numFmtId="195" fontId="13" fillId="2" borderId="11" xfId="0" applyNumberFormat="1" applyFont="1" applyFill="1" applyBorder="1"/>
    <xf numFmtId="195" fontId="13" fillId="2" borderId="0" xfId="0" applyNumberFormat="1" applyFont="1" applyFill="1"/>
    <xf numFmtId="195" fontId="13" fillId="2" borderId="12" xfId="0" applyNumberFormat="1" applyFont="1" applyFill="1" applyBorder="1"/>
    <xf numFmtId="195" fontId="3" fillId="2" borderId="19" xfId="0" applyNumberFormat="1" applyFont="1" applyFill="1" applyBorder="1"/>
    <xf numFmtId="195" fontId="0" fillId="2" borderId="11" xfId="0" applyNumberFormat="1" applyFill="1" applyBorder="1"/>
    <xf numFmtId="195" fontId="0" fillId="2" borderId="0" xfId="0" applyNumberFormat="1" applyFill="1"/>
    <xf numFmtId="195" fontId="0" fillId="2" borderId="12" xfId="0" applyNumberFormat="1" applyFill="1" applyBorder="1"/>
    <xf numFmtId="195" fontId="0" fillId="2" borderId="11" xfId="4" applyNumberFormat="1" applyFont="1" applyFill="1" applyBorder="1"/>
    <xf numFmtId="195" fontId="0" fillId="2" borderId="0" xfId="4" applyNumberFormat="1" applyFont="1" applyFill="1"/>
    <xf numFmtId="195" fontId="0" fillId="2" borderId="12" xfId="4" applyNumberFormat="1" applyFont="1" applyFill="1" applyBorder="1"/>
    <xf numFmtId="1" fontId="0" fillId="0" borderId="25" xfId="0" applyNumberFormat="1" applyBorder="1"/>
    <xf numFmtId="165" fontId="0" fillId="5" borderId="3" xfId="0" applyNumberFormat="1" applyFill="1" applyBorder="1" applyAlignment="1">
      <alignment vertical="center"/>
    </xf>
    <xf numFmtId="168" fontId="0" fillId="5" borderId="3" xfId="0" applyNumberFormat="1" applyFill="1" applyBorder="1" applyAlignment="1">
      <alignment vertical="center"/>
    </xf>
    <xf numFmtId="0" fontId="0" fillId="5" borderId="3" xfId="0" applyFill="1" applyBorder="1" applyAlignment="1">
      <alignment vertical="center"/>
    </xf>
    <xf numFmtId="0" fontId="65" fillId="0" borderId="3" xfId="0" applyFont="1" applyBorder="1" applyAlignment="1">
      <alignment horizontal="left" vertical="center"/>
    </xf>
    <xf numFmtId="0" fontId="65" fillId="2" borderId="0" xfId="0" applyFont="1" applyFill="1" applyAlignment="1">
      <alignment horizontal="left" vertical="center"/>
    </xf>
    <xf numFmtId="0" fontId="62" fillId="2" borderId="0" xfId="0" applyFont="1" applyFill="1"/>
    <xf numFmtId="1" fontId="62" fillId="2" borderId="0" xfId="0" applyNumberFormat="1" applyFont="1" applyFill="1"/>
    <xf numFmtId="1" fontId="62" fillId="2" borderId="12" xfId="0" applyNumberFormat="1" applyFont="1" applyFill="1" applyBorder="1"/>
    <xf numFmtId="169" fontId="0" fillId="9" borderId="3" xfId="0" applyNumberFormat="1" applyFill="1" applyBorder="1"/>
    <xf numFmtId="9" fontId="0" fillId="9" borderId="3" xfId="0" applyNumberFormat="1" applyFill="1" applyBorder="1"/>
    <xf numFmtId="10" fontId="0" fillId="9" borderId="19" xfId="0" applyNumberFormat="1" applyFill="1" applyBorder="1"/>
    <xf numFmtId="0" fontId="0" fillId="0" borderId="0" xfId="0" applyAlignment="1">
      <alignment horizontal="left" indent="1"/>
    </xf>
    <xf numFmtId="0" fontId="0" fillId="0" borderId="0" xfId="0" applyAlignment="1">
      <alignment horizontal="left"/>
    </xf>
    <xf numFmtId="0" fontId="0" fillId="0" borderId="11" xfId="0" applyBorder="1" applyAlignment="1">
      <alignment horizontal="left" indent="1"/>
    </xf>
    <xf numFmtId="0" fontId="0" fillId="0" borderId="20" xfId="0" applyBorder="1"/>
    <xf numFmtId="168" fontId="2" fillId="2" borderId="3" xfId="0" applyNumberFormat="1" applyFont="1" applyFill="1" applyBorder="1" applyAlignment="1">
      <alignment vertical="center"/>
    </xf>
    <xf numFmtId="165" fontId="2" fillId="2" borderId="0" xfId="4" applyNumberFormat="1" applyFont="1" applyFill="1" applyBorder="1" applyAlignment="1">
      <alignment vertical="center"/>
    </xf>
    <xf numFmtId="0" fontId="0" fillId="2" borderId="0" xfId="0" applyFill="1" applyAlignment="1">
      <alignment vertical="center"/>
    </xf>
    <xf numFmtId="10" fontId="0" fillId="2" borderId="0" xfId="0" applyNumberFormat="1" applyFill="1" applyAlignment="1">
      <alignment vertical="center"/>
    </xf>
    <xf numFmtId="0" fontId="3" fillId="2" borderId="0" xfId="0" applyFont="1" applyFill="1" applyAlignment="1">
      <alignment vertical="center"/>
    </xf>
    <xf numFmtId="196" fontId="0" fillId="2" borderId="0" xfId="0" applyNumberFormat="1" applyFill="1"/>
    <xf numFmtId="0" fontId="3" fillId="0" borderId="3" xfId="0" applyFont="1" applyBorder="1" applyAlignment="1">
      <alignment horizontal="left" vertical="center"/>
    </xf>
    <xf numFmtId="165" fontId="13" fillId="2" borderId="3" xfId="4" applyNumberFormat="1" applyFont="1" applyFill="1" applyBorder="1" applyAlignment="1">
      <alignment vertical="center"/>
    </xf>
    <xf numFmtId="195" fontId="3" fillId="2" borderId="20" xfId="0" applyNumberFormat="1" applyFont="1" applyFill="1" applyBorder="1"/>
    <xf numFmtId="195" fontId="3" fillId="2" borderId="15" xfId="0" applyNumberFormat="1" applyFont="1" applyFill="1" applyBorder="1"/>
    <xf numFmtId="195" fontId="3" fillId="2" borderId="21" xfId="0" applyNumberFormat="1" applyFont="1" applyFill="1" applyBorder="1"/>
    <xf numFmtId="195" fontId="3" fillId="2" borderId="7" xfId="0" applyNumberFormat="1" applyFont="1" applyFill="1" applyBorder="1"/>
    <xf numFmtId="195" fontId="3" fillId="2" borderId="23" xfId="0" applyNumberFormat="1" applyFont="1" applyFill="1" applyBorder="1"/>
    <xf numFmtId="195" fontId="3" fillId="2" borderId="47" xfId="0" applyNumberFormat="1" applyFont="1" applyFill="1" applyBorder="1"/>
    <xf numFmtId="0" fontId="9" fillId="2" borderId="48" xfId="0" applyFont="1" applyFill="1" applyBorder="1" applyAlignment="1">
      <alignment horizontal="left" indent="1"/>
    </xf>
    <xf numFmtId="0" fontId="9" fillId="2" borderId="12" xfId="0" applyFont="1" applyFill="1" applyBorder="1" applyAlignment="1">
      <alignment horizontal="left" indent="1"/>
    </xf>
    <xf numFmtId="0" fontId="9" fillId="2" borderId="49" xfId="0" applyFont="1" applyFill="1" applyBorder="1"/>
    <xf numFmtId="0" fontId="9" fillId="2" borderId="5" xfId="0" applyFont="1" applyFill="1" applyBorder="1"/>
    <xf numFmtId="0" fontId="8" fillId="2" borderId="12" xfId="0" applyFont="1" applyFill="1" applyBorder="1" applyAlignment="1">
      <alignment horizontal="left"/>
    </xf>
    <xf numFmtId="195" fontId="8" fillId="2" borderId="11" xfId="0" applyNumberFormat="1" applyFont="1" applyFill="1" applyBorder="1"/>
    <xf numFmtId="195" fontId="8" fillId="2" borderId="0" xfId="0" applyNumberFormat="1" applyFont="1" applyFill="1"/>
    <xf numFmtId="195" fontId="8" fillId="2" borderId="12" xfId="0" applyNumberFormat="1" applyFont="1" applyFill="1" applyBorder="1"/>
    <xf numFmtId="195" fontId="8" fillId="2" borderId="13" xfId="0" applyNumberFormat="1" applyFont="1" applyFill="1" applyBorder="1"/>
    <xf numFmtId="195" fontId="6" fillId="2" borderId="0" xfId="0" applyNumberFormat="1" applyFont="1" applyFill="1"/>
    <xf numFmtId="195" fontId="8" fillId="2" borderId="1" xfId="0" applyNumberFormat="1" applyFont="1" applyFill="1" applyBorder="1"/>
    <xf numFmtId="195" fontId="8" fillId="2" borderId="14" xfId="0" applyNumberFormat="1" applyFont="1" applyFill="1" applyBorder="1"/>
    <xf numFmtId="195" fontId="0" fillId="0" borderId="0" xfId="0" applyNumberFormat="1"/>
    <xf numFmtId="0" fontId="3" fillId="2" borderId="3" xfId="0" applyFont="1" applyFill="1" applyBorder="1" applyAlignment="1">
      <alignment horizontal="left"/>
    </xf>
    <xf numFmtId="195" fontId="8" fillId="2" borderId="48" xfId="0" applyNumberFormat="1" applyFont="1" applyFill="1" applyBorder="1"/>
    <xf numFmtId="195" fontId="0" fillId="0" borderId="12" xfId="0" applyNumberFormat="1" applyBorder="1"/>
    <xf numFmtId="0" fontId="0" fillId="8" borderId="0" xfId="0" applyFill="1" applyProtection="1">
      <protection hidden="1"/>
    </xf>
    <xf numFmtId="0" fontId="0" fillId="0" borderId="0" xfId="0" applyProtection="1">
      <protection hidden="1"/>
    </xf>
    <xf numFmtId="17" fontId="4" fillId="3" borderId="19" xfId="0" applyNumberFormat="1" applyFont="1" applyFill="1" applyBorder="1" applyAlignment="1" applyProtection="1">
      <alignment horizontal="right"/>
      <protection hidden="1"/>
    </xf>
    <xf numFmtId="0" fontId="0" fillId="2" borderId="12" xfId="0" applyFill="1" applyBorder="1" applyProtection="1">
      <protection hidden="1"/>
    </xf>
    <xf numFmtId="195" fontId="13" fillId="13" borderId="12" xfId="0" applyNumberFormat="1" applyFont="1" applyFill="1" applyBorder="1" applyProtection="1">
      <protection hidden="1"/>
    </xf>
    <xf numFmtId="195" fontId="0" fillId="13" borderId="12" xfId="0" applyNumberFormat="1" applyFill="1" applyBorder="1" applyProtection="1">
      <protection hidden="1"/>
    </xf>
    <xf numFmtId="195" fontId="16" fillId="8" borderId="3" xfId="0" applyNumberFormat="1" applyFont="1" applyFill="1" applyBorder="1" applyProtection="1">
      <protection hidden="1"/>
    </xf>
    <xf numFmtId="195" fontId="0" fillId="8" borderId="12" xfId="0" applyNumberFormat="1" applyFill="1" applyBorder="1" applyProtection="1">
      <protection hidden="1"/>
    </xf>
    <xf numFmtId="195" fontId="0" fillId="8" borderId="3" xfId="0" applyNumberFormat="1" applyFill="1" applyBorder="1" applyProtection="1">
      <protection hidden="1"/>
    </xf>
    <xf numFmtId="195" fontId="3" fillId="8" borderId="7" xfId="0" applyNumberFormat="1" applyFont="1" applyFill="1" applyBorder="1" applyProtection="1">
      <protection hidden="1"/>
    </xf>
    <xf numFmtId="195" fontId="0" fillId="8" borderId="12" xfId="4" applyNumberFormat="1" applyFont="1" applyFill="1" applyBorder="1" applyProtection="1">
      <protection hidden="1"/>
    </xf>
    <xf numFmtId="195" fontId="3" fillId="8" borderId="19" xfId="0" applyNumberFormat="1" applyFont="1" applyFill="1" applyBorder="1" applyProtection="1">
      <protection hidden="1"/>
    </xf>
    <xf numFmtId="195" fontId="3" fillId="8" borderId="5" xfId="0" applyNumberFormat="1" applyFont="1" applyFill="1" applyBorder="1" applyProtection="1">
      <protection hidden="1"/>
    </xf>
    <xf numFmtId="195" fontId="0" fillId="8" borderId="46" xfId="0" applyNumberFormat="1" applyFill="1" applyBorder="1" applyProtection="1">
      <protection hidden="1"/>
    </xf>
    <xf numFmtId="195" fontId="3" fillId="8" borderId="24" xfId="0" applyNumberFormat="1" applyFont="1" applyFill="1" applyBorder="1" applyProtection="1">
      <protection hidden="1"/>
    </xf>
    <xf numFmtId="165" fontId="0" fillId="0" borderId="0" xfId="0" applyNumberFormat="1" applyProtection="1">
      <protection hidden="1"/>
    </xf>
    <xf numFmtId="165" fontId="16" fillId="0" borderId="25" xfId="0" applyNumberFormat="1" applyFont="1" applyBorder="1" applyProtection="1">
      <protection hidden="1"/>
    </xf>
    <xf numFmtId="1" fontId="0" fillId="0" borderId="25" xfId="0" applyNumberFormat="1" applyBorder="1" applyProtection="1">
      <protection hidden="1"/>
    </xf>
    <xf numFmtId="0" fontId="3" fillId="0" borderId="0" xfId="0" applyFont="1" applyProtection="1">
      <protection hidden="1"/>
    </xf>
    <xf numFmtId="17" fontId="4" fillId="3" borderId="8" xfId="0" applyNumberFormat="1" applyFont="1" applyFill="1" applyBorder="1" applyProtection="1">
      <protection hidden="1"/>
    </xf>
    <xf numFmtId="17" fontId="4" fillId="3" borderId="9" xfId="0" applyNumberFormat="1" applyFont="1" applyFill="1" applyBorder="1" applyProtection="1">
      <protection hidden="1"/>
    </xf>
    <xf numFmtId="17" fontId="4" fillId="3" borderId="10" xfId="0" applyNumberFormat="1" applyFont="1" applyFill="1" applyBorder="1" applyProtection="1">
      <protection hidden="1"/>
    </xf>
    <xf numFmtId="0" fontId="3" fillId="2" borderId="11" xfId="0" applyFont="1" applyFill="1" applyBorder="1" applyProtection="1">
      <protection hidden="1"/>
    </xf>
    <xf numFmtId="1" fontId="3" fillId="2" borderId="0" xfId="0" applyNumberFormat="1" applyFont="1" applyFill="1" applyProtection="1">
      <protection hidden="1"/>
    </xf>
    <xf numFmtId="0" fontId="3" fillId="2" borderId="12" xfId="0" applyFont="1" applyFill="1" applyBorder="1" applyProtection="1">
      <protection hidden="1"/>
    </xf>
    <xf numFmtId="1" fontId="3" fillId="2" borderId="12" xfId="0" applyNumberFormat="1" applyFont="1" applyFill="1" applyBorder="1" applyProtection="1">
      <protection hidden="1"/>
    </xf>
    <xf numFmtId="0" fontId="0" fillId="2" borderId="11" xfId="0" applyFill="1" applyBorder="1" applyProtection="1">
      <protection hidden="1"/>
    </xf>
    <xf numFmtId="167" fontId="3" fillId="2" borderId="0" xfId="0" applyNumberFormat="1" applyFont="1" applyFill="1" applyProtection="1">
      <protection hidden="1"/>
    </xf>
    <xf numFmtId="0" fontId="0" fillId="2" borderId="0" xfId="0" applyFill="1" applyProtection="1">
      <protection hidden="1"/>
    </xf>
    <xf numFmtId="165" fontId="12" fillId="2" borderId="11" xfId="0" applyNumberFormat="1" applyFont="1" applyFill="1" applyBorder="1" applyProtection="1">
      <protection hidden="1"/>
    </xf>
    <xf numFmtId="165" fontId="12" fillId="2" borderId="0" xfId="0" applyNumberFormat="1" applyFont="1" applyFill="1" applyProtection="1">
      <protection hidden="1"/>
    </xf>
    <xf numFmtId="165" fontId="12" fillId="2" borderId="12" xfId="0" applyNumberFormat="1" applyFont="1" applyFill="1" applyBorder="1" applyProtection="1">
      <protection hidden="1"/>
    </xf>
    <xf numFmtId="1" fontId="0" fillId="2" borderId="0" xfId="0" applyNumberFormat="1" applyFill="1" applyProtection="1">
      <protection hidden="1"/>
    </xf>
    <xf numFmtId="1" fontId="0" fillId="2" borderId="12" xfId="0" applyNumberFormat="1" applyFill="1" applyBorder="1" applyProtection="1">
      <protection hidden="1"/>
    </xf>
    <xf numFmtId="165" fontId="3" fillId="2" borderId="11" xfId="0" applyNumberFormat="1" applyFont="1" applyFill="1" applyBorder="1" applyProtection="1">
      <protection hidden="1"/>
    </xf>
    <xf numFmtId="165" fontId="3" fillId="2" borderId="0" xfId="0" applyNumberFormat="1" applyFont="1" applyFill="1" applyProtection="1">
      <protection hidden="1"/>
    </xf>
    <xf numFmtId="165" fontId="3" fillId="2" borderId="17" xfId="0" applyNumberFormat="1" applyFont="1" applyFill="1" applyBorder="1" applyProtection="1">
      <protection hidden="1"/>
    </xf>
    <xf numFmtId="165" fontId="3" fillId="2" borderId="13" xfId="0" applyNumberFormat="1" applyFont="1" applyFill="1" applyBorder="1" applyProtection="1">
      <protection hidden="1"/>
    </xf>
    <xf numFmtId="165" fontId="3" fillId="2" borderId="6" xfId="0" applyNumberFormat="1" applyFont="1" applyFill="1" applyBorder="1" applyProtection="1">
      <protection hidden="1"/>
    </xf>
    <xf numFmtId="165" fontId="0" fillId="2" borderId="11" xfId="0" applyNumberFormat="1" applyFill="1" applyBorder="1" applyProtection="1">
      <protection hidden="1"/>
    </xf>
    <xf numFmtId="165" fontId="0" fillId="2" borderId="0" xfId="0" applyNumberFormat="1" applyFill="1" applyProtection="1">
      <protection hidden="1"/>
    </xf>
    <xf numFmtId="165" fontId="0" fillId="2" borderId="12" xfId="0" applyNumberFormat="1" applyFill="1" applyBorder="1" applyProtection="1">
      <protection hidden="1"/>
    </xf>
    <xf numFmtId="9" fontId="0" fillId="2" borderId="11" xfId="1" applyFont="1" applyFill="1" applyBorder="1" applyProtection="1">
      <protection hidden="1"/>
    </xf>
    <xf numFmtId="9" fontId="0" fillId="2" borderId="0" xfId="1" applyFont="1" applyFill="1" applyBorder="1" applyProtection="1">
      <protection hidden="1"/>
    </xf>
    <xf numFmtId="9" fontId="0" fillId="2" borderId="12" xfId="1" applyFont="1" applyFill="1" applyBorder="1" applyProtection="1">
      <protection hidden="1"/>
    </xf>
    <xf numFmtId="169" fontId="12" fillId="2" borderId="0" xfId="0" applyNumberFormat="1" applyFont="1" applyFill="1" applyProtection="1">
      <protection hidden="1"/>
    </xf>
    <xf numFmtId="169" fontId="12" fillId="2" borderId="12" xfId="0" applyNumberFormat="1" applyFont="1" applyFill="1" applyBorder="1" applyProtection="1">
      <protection hidden="1"/>
    </xf>
    <xf numFmtId="10" fontId="12" fillId="2" borderId="0" xfId="0" applyNumberFormat="1" applyFont="1" applyFill="1" applyProtection="1">
      <protection hidden="1"/>
    </xf>
    <xf numFmtId="10" fontId="12" fillId="2" borderId="12" xfId="0" applyNumberFormat="1" applyFont="1" applyFill="1" applyBorder="1" applyProtection="1">
      <protection hidden="1"/>
    </xf>
    <xf numFmtId="165" fontId="3" fillId="2" borderId="12" xfId="0" applyNumberFormat="1" applyFont="1" applyFill="1" applyBorder="1" applyProtection="1">
      <protection hidden="1"/>
    </xf>
    <xf numFmtId="165" fontId="3" fillId="2" borderId="1" xfId="0" applyNumberFormat="1" applyFont="1" applyFill="1" applyBorder="1" applyProtection="1">
      <protection hidden="1"/>
    </xf>
    <xf numFmtId="165" fontId="3" fillId="2" borderId="14" xfId="0" applyNumberFormat="1" applyFont="1" applyFill="1" applyBorder="1" applyProtection="1">
      <protection hidden="1"/>
    </xf>
    <xf numFmtId="10" fontId="12" fillId="2" borderId="11" xfId="0" applyNumberFormat="1" applyFont="1" applyFill="1" applyBorder="1" applyProtection="1">
      <protection hidden="1"/>
    </xf>
    <xf numFmtId="9" fontId="0" fillId="2" borderId="11" xfId="0" applyNumberFormat="1" applyFill="1" applyBorder="1" applyProtection="1">
      <protection hidden="1"/>
    </xf>
    <xf numFmtId="9" fontId="0" fillId="2" borderId="0" xfId="0" applyNumberFormat="1" applyFill="1" applyProtection="1">
      <protection hidden="1"/>
    </xf>
    <xf numFmtId="9" fontId="0" fillId="0" borderId="11" xfId="0" applyNumberFormat="1" applyBorder="1" applyProtection="1">
      <protection hidden="1"/>
    </xf>
    <xf numFmtId="9" fontId="0" fillId="2" borderId="12" xfId="0" applyNumberFormat="1" applyFill="1" applyBorder="1" applyProtection="1">
      <protection hidden="1"/>
    </xf>
    <xf numFmtId="9" fontId="12" fillId="2" borderId="0" xfId="0" applyNumberFormat="1" applyFont="1" applyFill="1" applyProtection="1">
      <protection hidden="1"/>
    </xf>
    <xf numFmtId="9" fontId="12" fillId="2" borderId="12" xfId="0" applyNumberFormat="1" applyFont="1" applyFill="1" applyBorder="1" applyProtection="1">
      <protection hidden="1"/>
    </xf>
    <xf numFmtId="1" fontId="12" fillId="2" borderId="0" xfId="0" applyNumberFormat="1" applyFont="1" applyFill="1" applyProtection="1">
      <protection hidden="1"/>
    </xf>
    <xf numFmtId="165" fontId="3" fillId="2" borderId="15" xfId="0" applyNumberFormat="1" applyFont="1" applyFill="1" applyBorder="1" applyProtection="1">
      <protection hidden="1"/>
    </xf>
    <xf numFmtId="165" fontId="3" fillId="2" borderId="2" xfId="0" applyNumberFormat="1" applyFont="1" applyFill="1" applyBorder="1" applyProtection="1">
      <protection hidden="1"/>
    </xf>
    <xf numFmtId="165" fontId="3" fillId="2" borderId="16" xfId="0" applyNumberFormat="1" applyFont="1" applyFill="1" applyBorder="1" applyProtection="1">
      <protection hidden="1"/>
    </xf>
    <xf numFmtId="0" fontId="33" fillId="14" borderId="12" xfId="5" applyFont="1" applyFill="1" applyBorder="1" applyAlignment="1">
      <alignment horizontal="center" vertical="center" textRotation="90"/>
    </xf>
    <xf numFmtId="0" fontId="15" fillId="2" borderId="0" xfId="0" applyFont="1" applyFill="1" applyAlignment="1">
      <alignment horizontal="center" vertical="center"/>
    </xf>
  </cellXfs>
  <cellStyles count="8">
    <cellStyle name="Comma" xfId="3" builtinId="3"/>
    <cellStyle name="Currency" xfId="4" builtinId="4"/>
    <cellStyle name="Normal" xfId="0" builtinId="0"/>
    <cellStyle name="Normal 2" xfId="2" xr:uid="{B166759B-DCB4-834E-A84C-297274431B73}"/>
    <cellStyle name="Normal 2 2" xfId="5" xr:uid="{B4E90C99-9349-4D10-B1C6-5253AD41B882}"/>
    <cellStyle name="Normal 3 2" xfId="7" xr:uid="{47226E10-8BD1-4816-A5CE-C15184E3CD5C}"/>
    <cellStyle name="Percent" xfId="1" builtinId="5"/>
    <cellStyle name="Percent 2" xfId="6" xr:uid="{7ACEAC52-EEDA-45F9-842B-7246BAA57013}"/>
  </cellStyles>
  <dxfs count="57">
    <dxf>
      <font>
        <b val="0"/>
        <i val="0"/>
        <strike val="0"/>
        <condense val="0"/>
        <extend val="0"/>
        <outline val="0"/>
        <shadow val="0"/>
        <u val="none"/>
        <vertAlign val="baseline"/>
        <sz val="10"/>
        <color theme="1"/>
        <name val="Arial"/>
        <family val="2"/>
        <scheme val="none"/>
      </font>
      <numFmt numFmtId="166" formatCode="&quot;$&quot;#,##0.00"/>
      <fill>
        <patternFill patternType="solid">
          <fgColor indexed="64"/>
          <bgColor theme="0"/>
        </patternFill>
      </fill>
      <border diagonalUp="0" diagonalDown="0">
        <left/>
        <right style="thin">
          <color indexed="64"/>
        </right>
        <vertical/>
      </border>
    </dxf>
    <dxf>
      <font>
        <b val="0"/>
        <i val="0"/>
        <strike val="0"/>
        <condense val="0"/>
        <extend val="0"/>
        <outline val="0"/>
        <shadow val="0"/>
        <u val="none"/>
        <vertAlign val="baseline"/>
        <sz val="10"/>
        <color theme="1"/>
        <name val="Arial"/>
        <family val="2"/>
        <scheme val="none"/>
      </font>
      <numFmt numFmtId="166" formatCode="&quot;$&quot;#,##0.00"/>
      <fill>
        <patternFill patternType="solid">
          <fgColor indexed="64"/>
          <bgColor theme="0"/>
        </patternFill>
      </fill>
    </dxf>
    <dxf>
      <font>
        <b val="0"/>
        <i val="0"/>
        <strike val="0"/>
        <condense val="0"/>
        <extend val="0"/>
        <outline val="0"/>
        <shadow val="0"/>
        <u val="none"/>
        <vertAlign val="baseline"/>
        <sz val="10"/>
        <color theme="1"/>
        <name val="Arial"/>
        <family val="2"/>
        <scheme val="none"/>
      </font>
      <numFmt numFmtId="166" formatCode="&quot;$&quot;#,##0.00"/>
      <fill>
        <patternFill patternType="solid">
          <fgColor indexed="64"/>
          <bgColor theme="0"/>
        </patternFill>
      </fill>
    </dxf>
    <dxf>
      <font>
        <b val="0"/>
        <i val="0"/>
        <strike val="0"/>
        <condense val="0"/>
        <extend val="0"/>
        <outline val="0"/>
        <shadow val="0"/>
        <u val="none"/>
        <vertAlign val="baseline"/>
        <sz val="10"/>
        <color theme="1"/>
        <name val="Arial"/>
        <family val="2"/>
        <scheme val="none"/>
      </font>
      <numFmt numFmtId="166" formatCode="&quot;$&quot;#,##0.00"/>
      <fill>
        <patternFill patternType="solid">
          <fgColor indexed="64"/>
          <bgColor theme="0"/>
        </patternFill>
      </fill>
    </dxf>
    <dxf>
      <font>
        <b val="0"/>
        <i val="0"/>
        <strike val="0"/>
        <condense val="0"/>
        <extend val="0"/>
        <outline val="0"/>
        <shadow val="0"/>
        <u val="none"/>
        <vertAlign val="baseline"/>
        <sz val="10"/>
        <color theme="1"/>
        <name val="Arial"/>
        <family val="2"/>
        <scheme val="none"/>
      </font>
      <numFmt numFmtId="166" formatCode="&quot;$&quot;#,##0.00"/>
      <fill>
        <patternFill patternType="solid">
          <fgColor indexed="64"/>
          <bgColor theme="0"/>
        </patternFill>
      </fill>
    </dxf>
    <dxf>
      <font>
        <b val="0"/>
        <i val="0"/>
        <strike val="0"/>
        <condense val="0"/>
        <extend val="0"/>
        <outline val="0"/>
        <shadow val="0"/>
        <u val="none"/>
        <vertAlign val="baseline"/>
        <sz val="10"/>
        <color theme="1"/>
        <name val="Arial"/>
        <family val="2"/>
        <scheme val="none"/>
      </font>
      <numFmt numFmtId="166" formatCode="&quot;$&quot;#,##0.00"/>
      <fill>
        <patternFill patternType="solid">
          <fgColor indexed="64"/>
          <bgColor theme="0"/>
        </patternFill>
      </fill>
    </dxf>
    <dxf>
      <font>
        <b val="0"/>
        <i val="0"/>
        <strike val="0"/>
        <condense val="0"/>
        <extend val="0"/>
        <outline val="0"/>
        <shadow val="0"/>
        <u val="none"/>
        <vertAlign val="baseline"/>
        <sz val="10"/>
        <color theme="1"/>
        <name val="Arial"/>
        <family val="2"/>
        <scheme val="none"/>
      </font>
      <numFmt numFmtId="166" formatCode="&quot;$&quot;#,##0.00"/>
      <fill>
        <patternFill patternType="solid">
          <fgColor indexed="64"/>
          <bgColor theme="0"/>
        </patternFill>
      </fill>
    </dxf>
    <dxf>
      <font>
        <b val="0"/>
        <i val="0"/>
        <strike val="0"/>
        <condense val="0"/>
        <extend val="0"/>
        <outline val="0"/>
        <shadow val="0"/>
        <u val="none"/>
        <vertAlign val="baseline"/>
        <sz val="10"/>
        <color theme="1"/>
        <name val="Arial"/>
        <family val="2"/>
        <scheme val="none"/>
      </font>
      <numFmt numFmtId="166" formatCode="&quot;$&quot;#,##0.00"/>
      <fill>
        <patternFill patternType="solid">
          <fgColor indexed="64"/>
          <bgColor theme="0"/>
        </patternFill>
      </fill>
    </dxf>
    <dxf>
      <font>
        <b val="0"/>
        <i val="0"/>
        <strike val="0"/>
        <condense val="0"/>
        <extend val="0"/>
        <outline val="0"/>
        <shadow val="0"/>
        <u val="none"/>
        <vertAlign val="baseline"/>
        <sz val="10"/>
        <color theme="1"/>
        <name val="Arial"/>
        <family val="2"/>
        <scheme val="none"/>
      </font>
      <numFmt numFmtId="166" formatCode="&quot;$&quot;#,##0.00"/>
      <fill>
        <patternFill patternType="solid">
          <fgColor indexed="64"/>
          <bgColor theme="0"/>
        </patternFill>
      </fill>
    </dxf>
    <dxf>
      <font>
        <b val="0"/>
        <i val="0"/>
        <strike val="0"/>
        <condense val="0"/>
        <extend val="0"/>
        <outline val="0"/>
        <shadow val="0"/>
        <u val="none"/>
        <vertAlign val="baseline"/>
        <sz val="10"/>
        <color theme="1"/>
        <name val="Arial"/>
        <family val="2"/>
        <scheme val="none"/>
      </font>
      <numFmt numFmtId="166" formatCode="&quot;$&quot;#,##0.00"/>
      <fill>
        <patternFill patternType="solid">
          <fgColor indexed="64"/>
          <bgColor theme="0"/>
        </patternFill>
      </fill>
    </dxf>
    <dxf>
      <font>
        <b val="0"/>
        <i val="0"/>
        <strike val="0"/>
        <condense val="0"/>
        <extend val="0"/>
        <outline val="0"/>
        <shadow val="0"/>
        <u val="none"/>
        <vertAlign val="baseline"/>
        <sz val="10"/>
        <color theme="1"/>
        <name val="Arial"/>
        <family val="2"/>
        <scheme val="none"/>
      </font>
      <numFmt numFmtId="166" formatCode="&quot;$&quot;#,##0.00"/>
      <fill>
        <patternFill patternType="solid">
          <fgColor indexed="64"/>
          <bgColor theme="0"/>
        </patternFill>
      </fill>
    </dxf>
    <dxf>
      <font>
        <b val="0"/>
        <i val="0"/>
        <strike val="0"/>
        <condense val="0"/>
        <extend val="0"/>
        <outline val="0"/>
        <shadow val="0"/>
        <u val="none"/>
        <vertAlign val="baseline"/>
        <sz val="10"/>
        <color theme="1"/>
        <name val="Arial"/>
        <family val="2"/>
        <scheme val="none"/>
      </font>
      <numFmt numFmtId="166" formatCode="&quot;$&quot;#,##0.00"/>
      <fill>
        <patternFill patternType="solid">
          <fgColor indexed="64"/>
          <bgColor theme="0"/>
        </patternFill>
      </fill>
      <border diagonalUp="0" diagonalDown="0">
        <left style="thin">
          <color indexed="64"/>
        </left>
        <right/>
        <vertical/>
      </border>
    </dxf>
    <dxf>
      <fill>
        <patternFill patternType="solid">
          <fgColor indexed="64"/>
          <bgColor theme="0"/>
        </patternFill>
      </fill>
    </dxf>
    <dxf>
      <fill>
        <patternFill patternType="solid">
          <fgColor indexed="64"/>
          <bgColor theme="0"/>
        </patternFill>
      </fill>
      <border diagonalUp="0" diagonalDown="0">
        <left style="thin">
          <color indexed="64"/>
        </left>
        <right style="thin">
          <color indexed="64"/>
        </right>
        <vertical/>
      </border>
    </dxf>
    <dxf>
      <font>
        <b val="0"/>
        <i val="0"/>
        <strike val="0"/>
        <condense val="0"/>
        <extend val="0"/>
        <outline val="0"/>
        <shadow val="0"/>
        <u val="none"/>
        <vertAlign val="baseline"/>
        <sz val="10"/>
        <color rgb="FF000000"/>
        <name val="Arial"/>
        <family val="2"/>
        <scheme val="none"/>
      </font>
      <fill>
        <patternFill patternType="solid">
          <fgColor rgb="FF000000"/>
          <bgColor rgb="FFFFFFFF"/>
        </patternFill>
      </fill>
    </dxf>
    <dxf>
      <font>
        <b val="0"/>
        <i val="0"/>
        <strike val="0"/>
        <condense val="0"/>
        <extend val="0"/>
        <outline val="0"/>
        <shadow val="0"/>
        <u val="none"/>
        <vertAlign val="baseline"/>
        <sz val="12"/>
        <color theme="0"/>
        <name val="Calibri"/>
        <family val="2"/>
        <scheme val="minor"/>
      </font>
      <numFmt numFmtId="22" formatCode="mmm\-yy"/>
      <fill>
        <patternFill patternType="solid">
          <fgColor indexed="64"/>
          <bgColor rgb="FFAA5CFF"/>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border diagonalUp="0" diagonalDown="0">
        <left style="thin">
          <color indexed="64"/>
        </left>
        <right style="thin">
          <color indexed="64"/>
        </right>
        <vertical/>
      </border>
    </dxf>
    <dxf>
      <fill>
        <patternFill patternType="solid">
          <fgColor indexed="64"/>
          <bgColor theme="0"/>
        </patternFill>
      </fill>
      <alignment horizontal="left" vertical="bottom" textRotation="0" wrapText="0" indent="1" justifyLastLine="0" shrinkToFit="0" readingOrder="0"/>
    </dxf>
    <dxf>
      <fill>
        <patternFill patternType="solid">
          <fgColor rgb="FF000000"/>
          <bgColor rgb="FFFFFFFF"/>
        </patternFill>
      </fill>
    </dxf>
    <dxf>
      <font>
        <strike val="0"/>
        <outline val="0"/>
        <shadow val="0"/>
        <u val="none"/>
        <vertAlign val="baseline"/>
        <sz val="12"/>
        <color theme="0"/>
        <name val="Calibri"/>
        <family val="2"/>
        <scheme val="minor"/>
      </font>
      <numFmt numFmtId="22" formatCode="mmm\-yy"/>
      <fill>
        <patternFill patternType="solid">
          <fgColor indexed="64"/>
          <bgColor rgb="FFAA5CFF"/>
        </patternFill>
      </fill>
    </dxf>
    <dxf>
      <fill>
        <patternFill patternType="solid">
          <fgColor indexed="64"/>
          <bgColor theme="0"/>
        </patternFill>
      </fill>
      <protection locked="1" hidden="1"/>
    </dxf>
    <dxf>
      <fill>
        <patternFill patternType="solid">
          <fgColor indexed="64"/>
          <bgColor theme="0"/>
        </patternFill>
      </fill>
      <protection locked="1" hidden="1"/>
    </dxf>
    <dxf>
      <fill>
        <patternFill patternType="solid">
          <fgColor indexed="64"/>
          <bgColor theme="0"/>
        </patternFill>
      </fill>
      <protection locked="1" hidden="1"/>
    </dxf>
    <dxf>
      <fill>
        <patternFill patternType="solid">
          <fgColor indexed="64"/>
          <bgColor theme="0"/>
        </patternFill>
      </fill>
      <protection locked="1" hidden="1"/>
    </dxf>
    <dxf>
      <fill>
        <patternFill patternType="solid">
          <fgColor indexed="64"/>
          <bgColor theme="0"/>
        </patternFill>
      </fill>
      <protection locked="1" hidden="1"/>
    </dxf>
    <dxf>
      <fill>
        <patternFill patternType="solid">
          <fgColor indexed="64"/>
          <bgColor theme="0"/>
        </patternFill>
      </fill>
      <protection locked="1" hidden="1"/>
    </dxf>
    <dxf>
      <fill>
        <patternFill patternType="solid">
          <fgColor indexed="64"/>
          <bgColor theme="0"/>
        </patternFill>
      </fill>
      <protection locked="1" hidden="1"/>
    </dxf>
    <dxf>
      <fill>
        <patternFill patternType="solid">
          <fgColor indexed="64"/>
          <bgColor theme="0"/>
        </patternFill>
      </fill>
      <protection locked="1" hidden="1"/>
    </dxf>
    <dxf>
      <fill>
        <patternFill patternType="solid">
          <fgColor indexed="64"/>
          <bgColor theme="0"/>
        </patternFill>
      </fill>
      <protection locked="1" hidden="1"/>
    </dxf>
    <dxf>
      <fill>
        <patternFill patternType="solid">
          <fgColor indexed="64"/>
          <bgColor theme="0"/>
        </patternFill>
      </fill>
      <protection locked="1" hidden="1"/>
    </dxf>
    <dxf>
      <fill>
        <patternFill patternType="solid">
          <fgColor indexed="64"/>
          <bgColor theme="0"/>
        </patternFill>
      </fill>
      <protection locked="1" hidden="1"/>
    </dxf>
    <dxf>
      <fill>
        <patternFill patternType="solid">
          <fgColor indexed="64"/>
          <bgColor theme="0"/>
        </patternFill>
      </fill>
      <protection locked="1" hidden="1"/>
    </dxf>
    <dxf>
      <fill>
        <patternFill patternType="solid">
          <fgColor indexed="64"/>
          <bgColor theme="0"/>
        </patternFill>
      </fill>
      <border diagonalUp="0" diagonalDown="0">
        <left style="thin">
          <color indexed="64"/>
        </left>
        <right style="thin">
          <color indexed="64"/>
        </right>
        <vertical/>
      </border>
    </dxf>
    <dxf>
      <fill>
        <patternFill patternType="solid">
          <fgColor indexed="64"/>
          <bgColor theme="0"/>
        </patternFill>
      </fill>
      <alignment horizontal="left" vertical="bottom" textRotation="0" wrapText="0" indent="1" justifyLastLine="0" shrinkToFit="0" readingOrder="0"/>
    </dxf>
    <dxf>
      <fill>
        <patternFill patternType="solid">
          <fgColor indexed="64"/>
          <bgColor theme="0"/>
        </patternFill>
      </fill>
    </dxf>
    <dxf>
      <font>
        <strike val="0"/>
        <outline val="0"/>
        <shadow val="0"/>
        <u val="none"/>
        <vertAlign val="baseline"/>
        <sz val="12"/>
        <color theme="0"/>
        <name val="Calibri"/>
        <family val="2"/>
        <scheme val="minor"/>
      </font>
      <numFmt numFmtId="22" formatCode="mmm\-yy"/>
      <fill>
        <patternFill patternType="solid">
          <fgColor indexed="64"/>
          <bgColor rgb="FFAA5CFF"/>
        </patternFill>
      </fill>
    </dxf>
    <dxf>
      <fill>
        <patternFill>
          <fgColor indexed="64"/>
          <bgColor theme="0"/>
        </patternFill>
      </fill>
      <protection locked="1" hidden="1"/>
    </dxf>
    <dxf>
      <numFmt numFmtId="165" formatCode="_([$$-409]* #,##0.00_);_([$$-409]* \(#,##0.00\);_([$$-409]* &quot;-&quot;??_);_(@_)"/>
      <fill>
        <patternFill>
          <fgColor indexed="64"/>
          <bgColor theme="0"/>
        </patternFill>
      </fill>
      <border diagonalUp="0" diagonalDown="0">
        <left/>
        <right style="thin">
          <color indexed="64"/>
        </right>
        <vertical/>
      </border>
    </dxf>
    <dxf>
      <numFmt numFmtId="165" formatCode="_([$$-409]* #,##0.00_);_([$$-409]* \(#,##0.00\);_([$$-409]* &quot;-&quot;??_);_(@_)"/>
      <fill>
        <patternFill>
          <fgColor indexed="64"/>
          <bgColor theme="0"/>
        </patternFill>
      </fill>
    </dxf>
    <dxf>
      <numFmt numFmtId="165" formatCode="_([$$-409]* #,##0.00_);_([$$-409]* \(#,##0.00\);_([$$-409]* &quot;-&quot;??_);_(@_)"/>
      <fill>
        <patternFill>
          <fgColor indexed="64"/>
          <bgColor theme="0"/>
        </patternFill>
      </fill>
    </dxf>
    <dxf>
      <numFmt numFmtId="165" formatCode="_([$$-409]* #,##0.00_);_([$$-409]* \(#,##0.00\);_([$$-409]* &quot;-&quot;??_);_(@_)"/>
      <fill>
        <patternFill>
          <fgColor indexed="64"/>
          <bgColor theme="0"/>
        </patternFill>
      </fill>
      <border diagonalUp="0" diagonalDown="0">
        <left style="thin">
          <color indexed="64"/>
        </left>
        <right/>
        <vertical/>
      </border>
    </dxf>
    <dxf>
      <fill>
        <patternFill>
          <fgColor indexed="64"/>
          <bgColor theme="0"/>
        </patternFill>
      </fill>
      <alignment horizontal="left" vertical="bottom" textRotation="0" wrapText="0" indent="1" justifyLastLine="0" shrinkToFit="0" readingOrder="0"/>
    </dxf>
    <dxf>
      <border>
        <bottom style="thin">
          <color indexed="64"/>
        </bottom>
      </border>
    </dxf>
    <dxf>
      <fill>
        <patternFill>
          <fgColor indexed="64"/>
          <bgColor theme="0"/>
        </patternFill>
      </fill>
    </dxf>
    <dxf>
      <font>
        <b val="0"/>
        <i val="0"/>
        <strike val="0"/>
        <condense val="0"/>
        <extend val="0"/>
        <outline val="0"/>
        <shadow val="0"/>
        <u val="none"/>
        <vertAlign val="baseline"/>
        <sz val="12"/>
        <color theme="0"/>
        <name val="Calibri"/>
        <family val="2"/>
        <scheme val="minor"/>
      </font>
      <numFmt numFmtId="22" formatCode="mmm\-yy"/>
      <fill>
        <patternFill patternType="solid">
          <fgColor indexed="64"/>
          <bgColor rgb="FFAA5CFF"/>
        </patternFill>
      </fill>
    </dxf>
  </dxfs>
  <tableStyles count="0" defaultTableStyle="TableStyleMedium2" defaultPivotStyle="PivotStyleLight16"/>
  <colors>
    <mruColors>
      <color rgb="FFAA5CFF"/>
      <color rgb="FF66CCFF"/>
      <color rgb="FFCCECFF"/>
      <color rgb="FFCCCCFF"/>
      <color rgb="FFFF99FF"/>
      <color rgb="FFCC99FF"/>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Oly's revenue streams margins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Dashboard!$A$69</c:f>
              <c:strCache>
                <c:ptCount val="1"/>
                <c:pt idx="0">
                  <c:v>Card Sales</c:v>
                </c:pt>
              </c:strCache>
            </c:strRef>
          </c:tx>
          <c:spPr>
            <a:solidFill>
              <a:srgbClr val="AA5CFF"/>
            </a:solidFill>
            <a:ln>
              <a:noFill/>
            </a:ln>
            <a:effectLst/>
          </c:spPr>
          <c:invertIfNegative val="0"/>
          <c:cat>
            <c:strRef>
              <c:f>Dashboard!$B$22:$E$22</c:f>
              <c:strCache>
                <c:ptCount val="4"/>
                <c:pt idx="0">
                  <c:v>Q1 2023</c:v>
                </c:pt>
                <c:pt idx="1">
                  <c:v>Q2 2023</c:v>
                </c:pt>
                <c:pt idx="2">
                  <c:v>Q3 2023</c:v>
                </c:pt>
                <c:pt idx="3">
                  <c:v>Q4 2023</c:v>
                </c:pt>
              </c:strCache>
            </c:strRef>
          </c:cat>
          <c:val>
            <c:numRef>
              <c:f>Dashboard!$B$69:$E$69</c:f>
              <c:numCache>
                <c:formatCode>0.00%</c:formatCode>
                <c:ptCount val="4"/>
                <c:pt idx="0">
                  <c:v>9.1260242571462785E-2</c:v>
                </c:pt>
                <c:pt idx="1">
                  <c:v>0.5056422569027611</c:v>
                </c:pt>
                <c:pt idx="2">
                  <c:v>0.5056422569027611</c:v>
                </c:pt>
                <c:pt idx="3">
                  <c:v>0.50564225690276099</c:v>
                </c:pt>
              </c:numCache>
            </c:numRef>
          </c:val>
          <c:extLst>
            <c:ext xmlns:c16="http://schemas.microsoft.com/office/drawing/2014/chart" uri="{C3380CC4-5D6E-409C-BE32-E72D297353CC}">
              <c16:uniqueId val="{00000000-C041-47EB-8940-5315AB315C1F}"/>
            </c:ext>
          </c:extLst>
        </c:ser>
        <c:ser>
          <c:idx val="1"/>
          <c:order val="1"/>
          <c:tx>
            <c:strRef>
              <c:f>Dashboard!$A$70</c:f>
              <c:strCache>
                <c:ptCount val="1"/>
                <c:pt idx="0">
                  <c:v>On Ramp</c:v>
                </c:pt>
              </c:strCache>
            </c:strRef>
          </c:tx>
          <c:spPr>
            <a:solidFill>
              <a:srgbClr val="CC99FF"/>
            </a:solidFill>
            <a:ln>
              <a:noFill/>
            </a:ln>
            <a:effectLst/>
          </c:spPr>
          <c:invertIfNegative val="0"/>
          <c:cat>
            <c:strRef>
              <c:f>Dashboard!$B$22:$E$22</c:f>
              <c:strCache>
                <c:ptCount val="4"/>
                <c:pt idx="0">
                  <c:v>Q1 2023</c:v>
                </c:pt>
                <c:pt idx="1">
                  <c:v>Q2 2023</c:v>
                </c:pt>
                <c:pt idx="2">
                  <c:v>Q3 2023</c:v>
                </c:pt>
                <c:pt idx="3">
                  <c:v>Q4 2023</c:v>
                </c:pt>
              </c:strCache>
            </c:strRef>
          </c:cat>
          <c:val>
            <c:numRef>
              <c:f>Dashboard!$B$70:$E$70</c:f>
              <c:numCache>
                <c:formatCode>0.00%</c:formatCode>
                <c:ptCount val="4"/>
                <c:pt idx="0">
                  <c:v>0</c:v>
                </c:pt>
                <c:pt idx="1">
                  <c:v>0</c:v>
                </c:pt>
                <c:pt idx="2">
                  <c:v>0</c:v>
                </c:pt>
                <c:pt idx="3">
                  <c:v>0</c:v>
                </c:pt>
              </c:numCache>
            </c:numRef>
          </c:val>
          <c:extLst>
            <c:ext xmlns:c16="http://schemas.microsoft.com/office/drawing/2014/chart" uri="{C3380CC4-5D6E-409C-BE32-E72D297353CC}">
              <c16:uniqueId val="{00000001-C041-47EB-8940-5315AB315C1F}"/>
            </c:ext>
          </c:extLst>
        </c:ser>
        <c:ser>
          <c:idx val="2"/>
          <c:order val="2"/>
          <c:tx>
            <c:strRef>
              <c:f>Dashboard!$A$71</c:f>
              <c:strCache>
                <c:ptCount val="1"/>
                <c:pt idx="0">
                  <c:v>Swap Crypto to Crypto</c:v>
                </c:pt>
              </c:strCache>
            </c:strRef>
          </c:tx>
          <c:spPr>
            <a:solidFill>
              <a:srgbClr val="CCCCFF"/>
            </a:solidFill>
            <a:ln>
              <a:noFill/>
            </a:ln>
            <a:effectLst/>
          </c:spPr>
          <c:invertIfNegative val="0"/>
          <c:cat>
            <c:strRef>
              <c:f>Dashboard!$B$22:$E$22</c:f>
              <c:strCache>
                <c:ptCount val="4"/>
                <c:pt idx="0">
                  <c:v>Q1 2023</c:v>
                </c:pt>
                <c:pt idx="1">
                  <c:v>Q2 2023</c:v>
                </c:pt>
                <c:pt idx="2">
                  <c:v>Q3 2023</c:v>
                </c:pt>
                <c:pt idx="3">
                  <c:v>Q4 2023</c:v>
                </c:pt>
              </c:strCache>
            </c:strRef>
          </c:cat>
          <c:val>
            <c:numRef>
              <c:f>Dashboard!$B$71:$E$71</c:f>
              <c:numCache>
                <c:formatCode>0.00%</c:formatCode>
                <c:ptCount val="4"/>
                <c:pt idx="0">
                  <c:v>1</c:v>
                </c:pt>
                <c:pt idx="1">
                  <c:v>1</c:v>
                </c:pt>
                <c:pt idx="2">
                  <c:v>1</c:v>
                </c:pt>
                <c:pt idx="3">
                  <c:v>1</c:v>
                </c:pt>
              </c:numCache>
            </c:numRef>
          </c:val>
          <c:extLst>
            <c:ext xmlns:c16="http://schemas.microsoft.com/office/drawing/2014/chart" uri="{C3380CC4-5D6E-409C-BE32-E72D297353CC}">
              <c16:uniqueId val="{00000002-C041-47EB-8940-5315AB315C1F}"/>
            </c:ext>
          </c:extLst>
        </c:ser>
        <c:ser>
          <c:idx val="3"/>
          <c:order val="3"/>
          <c:tx>
            <c:strRef>
              <c:f>Dashboard!$A$72</c:f>
              <c:strCache>
                <c:ptCount val="1"/>
                <c:pt idx="0">
                  <c:v>Off Ramp (Card Payment)</c:v>
                </c:pt>
              </c:strCache>
            </c:strRef>
          </c:tx>
          <c:spPr>
            <a:solidFill>
              <a:srgbClr val="CCECFF"/>
            </a:solidFill>
            <a:ln>
              <a:noFill/>
            </a:ln>
            <a:effectLst/>
          </c:spPr>
          <c:invertIfNegative val="0"/>
          <c:cat>
            <c:strRef>
              <c:f>Dashboard!$B$22:$E$22</c:f>
              <c:strCache>
                <c:ptCount val="4"/>
                <c:pt idx="0">
                  <c:v>Q1 2023</c:v>
                </c:pt>
                <c:pt idx="1">
                  <c:v>Q2 2023</c:v>
                </c:pt>
                <c:pt idx="2">
                  <c:v>Q3 2023</c:v>
                </c:pt>
                <c:pt idx="3">
                  <c:v>Q4 2023</c:v>
                </c:pt>
              </c:strCache>
            </c:strRef>
          </c:cat>
          <c:val>
            <c:numRef>
              <c:f>Dashboard!$B$72:$E$72</c:f>
              <c:numCache>
                <c:formatCode>0.00%</c:formatCode>
                <c:ptCount val="4"/>
                <c:pt idx="0">
                  <c:v>0.9572208371316544</c:v>
                </c:pt>
                <c:pt idx="1">
                  <c:v>0.95692642799469441</c:v>
                </c:pt>
                <c:pt idx="2">
                  <c:v>0.95692636290282596</c:v>
                </c:pt>
                <c:pt idx="3">
                  <c:v>0.95692585124851182</c:v>
                </c:pt>
              </c:numCache>
            </c:numRef>
          </c:val>
          <c:extLst>
            <c:ext xmlns:c16="http://schemas.microsoft.com/office/drawing/2014/chart" uri="{C3380CC4-5D6E-409C-BE32-E72D297353CC}">
              <c16:uniqueId val="{00000003-C041-47EB-8940-5315AB315C1F}"/>
            </c:ext>
          </c:extLst>
        </c:ser>
        <c:ser>
          <c:idx val="4"/>
          <c:order val="4"/>
          <c:tx>
            <c:strRef>
              <c:f>Dashboard!$A$73</c:f>
              <c:strCache>
                <c:ptCount val="1"/>
                <c:pt idx="0">
                  <c:v>Off Ramp (Bank Transfer)</c:v>
                </c:pt>
              </c:strCache>
            </c:strRef>
          </c:tx>
          <c:spPr>
            <a:solidFill>
              <a:srgbClr val="66CCFF"/>
            </a:solidFill>
            <a:ln>
              <a:noFill/>
            </a:ln>
            <a:effectLst/>
          </c:spPr>
          <c:invertIfNegative val="0"/>
          <c:cat>
            <c:strRef>
              <c:f>Dashboard!$B$22:$E$22</c:f>
              <c:strCache>
                <c:ptCount val="4"/>
                <c:pt idx="0">
                  <c:v>Q1 2023</c:v>
                </c:pt>
                <c:pt idx="1">
                  <c:v>Q2 2023</c:v>
                </c:pt>
                <c:pt idx="2">
                  <c:v>Q3 2023</c:v>
                </c:pt>
                <c:pt idx="3">
                  <c:v>Q4 2023</c:v>
                </c:pt>
              </c:strCache>
            </c:strRef>
          </c:cat>
          <c:val>
            <c:numRef>
              <c:f>Dashboard!$B$73:$E$73</c:f>
              <c:numCache>
                <c:formatCode>0.00%</c:formatCode>
                <c:ptCount val="4"/>
                <c:pt idx="0">
                  <c:v>0</c:v>
                </c:pt>
                <c:pt idx="1">
                  <c:v>0</c:v>
                </c:pt>
                <c:pt idx="2">
                  <c:v>0</c:v>
                </c:pt>
                <c:pt idx="3">
                  <c:v>0</c:v>
                </c:pt>
              </c:numCache>
            </c:numRef>
          </c:val>
          <c:extLst>
            <c:ext xmlns:c16="http://schemas.microsoft.com/office/drawing/2014/chart" uri="{C3380CC4-5D6E-409C-BE32-E72D297353CC}">
              <c16:uniqueId val="{00000004-C041-47EB-8940-5315AB315C1F}"/>
            </c:ext>
          </c:extLst>
        </c:ser>
        <c:ser>
          <c:idx val="5"/>
          <c:order val="5"/>
          <c:tx>
            <c:strRef>
              <c:f>Dashboard!$A$74</c:f>
              <c:strCache>
                <c:ptCount val="1"/>
                <c:pt idx="0">
                  <c:v>Transfer (Crypto to Crypto)</c:v>
                </c:pt>
              </c:strCache>
            </c:strRef>
          </c:tx>
          <c:spPr>
            <a:solidFill>
              <a:schemeClr val="accent6"/>
            </a:solidFill>
            <a:ln>
              <a:noFill/>
            </a:ln>
            <a:effectLst/>
          </c:spPr>
          <c:invertIfNegative val="0"/>
          <c:cat>
            <c:strRef>
              <c:f>Dashboard!$B$22:$E$22</c:f>
              <c:strCache>
                <c:ptCount val="4"/>
                <c:pt idx="0">
                  <c:v>Q1 2023</c:v>
                </c:pt>
                <c:pt idx="1">
                  <c:v>Q2 2023</c:v>
                </c:pt>
                <c:pt idx="2">
                  <c:v>Q3 2023</c:v>
                </c:pt>
                <c:pt idx="3">
                  <c:v>Q4 2023</c:v>
                </c:pt>
              </c:strCache>
            </c:strRef>
          </c:cat>
          <c:val>
            <c:numRef>
              <c:f>Dashboard!$B$74:$E$74</c:f>
              <c:numCache>
                <c:formatCode>0.00%</c:formatCode>
                <c:ptCount val="4"/>
              </c:numCache>
            </c:numRef>
          </c:val>
          <c:extLst>
            <c:ext xmlns:c16="http://schemas.microsoft.com/office/drawing/2014/chart" uri="{C3380CC4-5D6E-409C-BE32-E72D297353CC}">
              <c16:uniqueId val="{00000005-C041-47EB-8940-5315AB315C1F}"/>
            </c:ext>
          </c:extLst>
        </c:ser>
        <c:ser>
          <c:idx val="6"/>
          <c:order val="6"/>
          <c:tx>
            <c:strRef>
              <c:f>Dashboard!$A$75</c:f>
              <c:strCache>
                <c:ptCount val="1"/>
                <c:pt idx="0">
                  <c:v>Membership Subscription</c:v>
                </c:pt>
              </c:strCache>
            </c:strRef>
          </c:tx>
          <c:spPr>
            <a:solidFill>
              <a:srgbClr val="00B0F0"/>
            </a:solidFill>
            <a:ln>
              <a:noFill/>
            </a:ln>
            <a:effectLst/>
          </c:spPr>
          <c:invertIfNegative val="0"/>
          <c:cat>
            <c:strRef>
              <c:f>Dashboard!$B$22:$E$22</c:f>
              <c:strCache>
                <c:ptCount val="4"/>
                <c:pt idx="0">
                  <c:v>Q1 2023</c:v>
                </c:pt>
                <c:pt idx="1">
                  <c:v>Q2 2023</c:v>
                </c:pt>
                <c:pt idx="2">
                  <c:v>Q3 2023</c:v>
                </c:pt>
                <c:pt idx="3">
                  <c:v>Q4 2023</c:v>
                </c:pt>
              </c:strCache>
            </c:strRef>
          </c:cat>
          <c:val>
            <c:numRef>
              <c:f>Dashboard!$B$75:$E$75</c:f>
              <c:numCache>
                <c:formatCode>0.00%</c:formatCode>
                <c:ptCount val="4"/>
                <c:pt idx="0">
                  <c:v>0.24863149127007045</c:v>
                </c:pt>
                <c:pt idx="1">
                  <c:v>0.36092948833143834</c:v>
                </c:pt>
                <c:pt idx="2">
                  <c:v>0.32607504170391621</c:v>
                </c:pt>
                <c:pt idx="3">
                  <c:v>0.33703729738121796</c:v>
                </c:pt>
              </c:numCache>
            </c:numRef>
          </c:val>
          <c:extLst>
            <c:ext xmlns:c16="http://schemas.microsoft.com/office/drawing/2014/chart" uri="{C3380CC4-5D6E-409C-BE32-E72D297353CC}">
              <c16:uniqueId val="{00000006-C041-47EB-8940-5315AB315C1F}"/>
            </c:ext>
          </c:extLst>
        </c:ser>
        <c:ser>
          <c:idx val="7"/>
          <c:order val="7"/>
          <c:tx>
            <c:strRef>
              <c:f>Dashboard!$A$76</c:f>
              <c:strCache>
                <c:ptCount val="1"/>
                <c:pt idx="0">
                  <c:v>Treasury Management</c:v>
                </c:pt>
              </c:strCache>
            </c:strRef>
          </c:tx>
          <c:spPr>
            <a:solidFill>
              <a:srgbClr val="0070C0"/>
            </a:solidFill>
            <a:ln>
              <a:noFill/>
            </a:ln>
            <a:effectLst/>
          </c:spPr>
          <c:invertIfNegative val="0"/>
          <c:cat>
            <c:strRef>
              <c:f>Dashboard!$B$22:$E$22</c:f>
              <c:strCache>
                <c:ptCount val="4"/>
                <c:pt idx="0">
                  <c:v>Q1 2023</c:v>
                </c:pt>
                <c:pt idx="1">
                  <c:v>Q2 2023</c:v>
                </c:pt>
                <c:pt idx="2">
                  <c:v>Q3 2023</c:v>
                </c:pt>
                <c:pt idx="3">
                  <c:v>Q4 2023</c:v>
                </c:pt>
              </c:strCache>
            </c:strRef>
          </c:cat>
          <c:val>
            <c:numRef>
              <c:f>Dashboard!$B$76:$E$76</c:f>
              <c:numCache>
                <c:formatCode>0.00%</c:formatCode>
                <c:ptCount val="4"/>
                <c:pt idx="0">
                  <c:v>0</c:v>
                </c:pt>
                <c:pt idx="1">
                  <c:v>0</c:v>
                </c:pt>
                <c:pt idx="2">
                  <c:v>0</c:v>
                </c:pt>
                <c:pt idx="3">
                  <c:v>0</c:v>
                </c:pt>
              </c:numCache>
            </c:numRef>
          </c:val>
          <c:extLst>
            <c:ext xmlns:c16="http://schemas.microsoft.com/office/drawing/2014/chart" uri="{C3380CC4-5D6E-409C-BE32-E72D297353CC}">
              <c16:uniqueId val="{00000007-C041-47EB-8940-5315AB315C1F}"/>
            </c:ext>
          </c:extLst>
        </c:ser>
        <c:dLbls>
          <c:showLegendKey val="0"/>
          <c:showVal val="0"/>
          <c:showCatName val="0"/>
          <c:showSerName val="0"/>
          <c:showPercent val="0"/>
          <c:showBubbleSize val="0"/>
        </c:dLbls>
        <c:gapWidth val="219"/>
        <c:overlap val="-27"/>
        <c:axId val="1005133472"/>
        <c:axId val="1005130144"/>
      </c:barChart>
      <c:catAx>
        <c:axId val="100513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130144"/>
        <c:crosses val="autoZero"/>
        <c:auto val="1"/>
        <c:lblAlgn val="ctr"/>
        <c:lblOffset val="100"/>
        <c:noMultiLvlLbl val="0"/>
      </c:catAx>
      <c:valAx>
        <c:axId val="100513014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133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b="1"/>
              <a:t>Oly cash balance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ndard"/>
        <c:varyColors val="0"/>
        <c:ser>
          <c:idx val="0"/>
          <c:order val="0"/>
          <c:spPr>
            <a:solidFill>
              <a:srgbClr val="AA5CFF"/>
            </a:solidFill>
            <a:ln>
              <a:noFill/>
            </a:ln>
            <a:effectLst/>
          </c:spPr>
          <c:cat>
            <c:strRef>
              <c:f>Dashboard!$B$22:$E$22</c:f>
              <c:strCache>
                <c:ptCount val="4"/>
                <c:pt idx="0">
                  <c:v>Q1 2023</c:v>
                </c:pt>
                <c:pt idx="1">
                  <c:v>Q2 2023</c:v>
                </c:pt>
                <c:pt idx="2">
                  <c:v>Q3 2023</c:v>
                </c:pt>
                <c:pt idx="3">
                  <c:v>Q4 2023</c:v>
                </c:pt>
              </c:strCache>
            </c:strRef>
          </c:cat>
          <c:val>
            <c:numRef>
              <c:f>Dashboard!$B$63:$E$63</c:f>
              <c:numCache>
                <c:formatCode>_([$$-409]* #,##0.00_);_([$$-409]* \(#,##0.00\);_([$$-409]* "-"??_);_(@_)</c:formatCode>
                <c:ptCount val="4"/>
                <c:pt idx="0">
                  <c:v>10640201.91515</c:v>
                </c:pt>
                <c:pt idx="1">
                  <c:v>10020942.348448182</c:v>
                </c:pt>
                <c:pt idx="2">
                  <c:v>9939271.306215344</c:v>
                </c:pt>
                <c:pt idx="3">
                  <c:v>11795519.044169448</c:v>
                </c:pt>
              </c:numCache>
            </c:numRef>
          </c:val>
          <c:extLst>
            <c:ext xmlns:c16="http://schemas.microsoft.com/office/drawing/2014/chart" uri="{C3380CC4-5D6E-409C-BE32-E72D297353CC}">
              <c16:uniqueId val="{00000000-C789-4A3A-976E-B8138AA4995E}"/>
            </c:ext>
          </c:extLst>
        </c:ser>
        <c:dLbls>
          <c:showLegendKey val="0"/>
          <c:showVal val="0"/>
          <c:showCatName val="0"/>
          <c:showSerName val="0"/>
          <c:showPercent val="0"/>
          <c:showBubbleSize val="0"/>
        </c:dLbls>
        <c:axId val="1181390144"/>
        <c:axId val="1181393472"/>
      </c:areaChart>
      <c:catAx>
        <c:axId val="11813901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393472"/>
        <c:crosses val="autoZero"/>
        <c:auto val="1"/>
        <c:lblAlgn val="ctr"/>
        <c:lblOffset val="100"/>
        <c:noMultiLvlLbl val="0"/>
      </c:catAx>
      <c:valAx>
        <c:axId val="1181393472"/>
        <c:scaling>
          <c:orientation val="minMax"/>
        </c:scaling>
        <c:delete val="0"/>
        <c:axPos val="l"/>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39014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936172</xdr:colOff>
      <xdr:row>2</xdr:row>
      <xdr:rowOff>103416</xdr:rowOff>
    </xdr:from>
    <xdr:to>
      <xdr:col>7</xdr:col>
      <xdr:colOff>1230086</xdr:colOff>
      <xdr:row>16</xdr:row>
      <xdr:rowOff>103416</xdr:rowOff>
    </xdr:to>
    <xdr:graphicFrame macro="">
      <xdr:nvGraphicFramePr>
        <xdr:cNvPr id="2" name="Chart 1">
          <a:extLst>
            <a:ext uri="{FF2B5EF4-FFF2-40B4-BE49-F238E27FC236}">
              <a16:creationId xmlns:a16="http://schemas.microsoft.com/office/drawing/2014/main" id="{76FD59C0-764F-E0D0-5CD5-6D850DAFFF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1524001</xdr:colOff>
      <xdr:row>2</xdr:row>
      <xdr:rowOff>125185</xdr:rowOff>
    </xdr:from>
    <xdr:to>
      <xdr:col>11</xdr:col>
      <xdr:colOff>696687</xdr:colOff>
      <xdr:row>16</xdr:row>
      <xdr:rowOff>125185</xdr:rowOff>
    </xdr:to>
    <xdr:graphicFrame macro="">
      <xdr:nvGraphicFramePr>
        <xdr:cNvPr id="3" name="Chart 2">
          <a:extLst>
            <a:ext uri="{FF2B5EF4-FFF2-40B4-BE49-F238E27FC236}">
              <a16:creationId xmlns:a16="http://schemas.microsoft.com/office/drawing/2014/main" id="{6E1853B2-FEBB-1949-FD81-3606ADEFCC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Oly%20BP%20-%20Bull%20Scenario.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ites/mateam/Shared%20Documents/M&amp;A%20Process%20and%20Templates/4.%20Valuation/2022.09%20Valuation%20Template_v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 val="Unit Economics"/>
      <sheetName val="IRR Analysis"/>
      <sheetName val="Valuation - DCF"/>
      <sheetName val="Valuation - Comps"/>
      <sheetName val="Valuation - VC method"/>
      <sheetName val="Assumptions &gt;&gt;&gt;"/>
      <sheetName val="Fee Structure"/>
      <sheetName val="Cost Structure"/>
      <sheetName val="Oly Business &gt;&gt;&gt;"/>
      <sheetName val="Revenues"/>
      <sheetName val="Direct Costs"/>
      <sheetName val="Oly_Payroll &amp; OPEX"/>
      <sheetName val="Tangem Business &gt;&gt;&gt;"/>
      <sheetName val="Tangem Revenues"/>
      <sheetName val="Tangem Direct Costs"/>
      <sheetName val="Tang_Payroll &amp; OPEX"/>
      <sheetName val="Tangem CAPEX"/>
    </sheetNames>
    <sheetDataSet>
      <sheetData sheetId="0">
        <row r="40">
          <cell r="N40">
            <v>-596005.6162400411</v>
          </cell>
        </row>
      </sheetData>
      <sheetData sheetId="1"/>
      <sheetData sheetId="2"/>
      <sheetData sheetId="3"/>
      <sheetData sheetId="4"/>
      <sheetData sheetId="5"/>
      <sheetData sheetId="6"/>
      <sheetData sheetId="7"/>
      <sheetData sheetId="8"/>
      <sheetData sheetId="9"/>
      <sheetData sheetId="10"/>
      <sheetData sheetId="11">
        <row r="21">
          <cell r="G21">
            <v>2.7006000000000001</v>
          </cell>
        </row>
        <row r="29">
          <cell r="G29">
            <v>0</v>
          </cell>
        </row>
        <row r="37">
          <cell r="G37">
            <v>0.1</v>
          </cell>
        </row>
        <row r="45">
          <cell r="G45">
            <v>4.0000000000000002E-4</v>
          </cell>
        </row>
        <row r="53">
          <cell r="G53">
            <v>0</v>
          </cell>
        </row>
      </sheetData>
      <sheetData sheetId="12"/>
      <sheetData sheetId="13"/>
      <sheetData sheetId="14">
        <row r="4">
          <cell r="C4">
            <v>1665</v>
          </cell>
        </row>
      </sheetData>
      <sheetData sheetId="15"/>
      <sheetData sheetId="16"/>
      <sheetData sheetId="1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Forecasts Summary"/>
      <sheetName val="Football Field Chart"/>
      <sheetName val="DCF (5YR)"/>
      <sheetName val="Comps Based Valuation"/>
      <sheetName val="PB_CACHE"/>
      <sheetName val="LBO Modelling"/>
      <sheetName val="Pitchbook"/>
      <sheetName val="Income Statement (2)"/>
      <sheetName val="Inputs &gt;&gt;"/>
      <sheetName val="IRR Returns analysis"/>
      <sheetName val="Trading Comps"/>
      <sheetName val="Income Statement"/>
      <sheetName val="Balance Sheet"/>
      <sheetName val="Cash Flow Statement"/>
      <sheetName val="PPE Schedule"/>
      <sheetName val="Debt Schedule"/>
      <sheetName val="WACC"/>
      <sheetName val="Pitchbook Peers"/>
      <sheetName val="IRR Returns analysis (2)"/>
    </sheetNames>
    <sheetDataSet>
      <sheetData sheetId="0">
        <row r="5">
          <cell r="C5" t="str">
            <v>Management Case</v>
          </cell>
        </row>
      </sheetData>
      <sheetData sheetId="1"/>
      <sheetData sheetId="2"/>
      <sheetData sheetId="3">
        <row r="31">
          <cell r="G31">
            <v>19.657684800000002</v>
          </cell>
        </row>
      </sheetData>
      <sheetData sheetId="4"/>
      <sheetData sheetId="5"/>
      <sheetData sheetId="6"/>
      <sheetData sheetId="7"/>
      <sheetData sheetId="8"/>
      <sheetData sheetId="9"/>
      <sheetData sheetId="10"/>
      <sheetData sheetId="11">
        <row r="232">
          <cell r="H232">
            <v>3.9804369486637876</v>
          </cell>
          <cell r="I232">
            <v>10.985314910347128</v>
          </cell>
          <cell r="J232">
            <v>7.7888591526082829</v>
          </cell>
          <cell r="K232">
            <v>20.542607056407473</v>
          </cell>
          <cell r="L232">
            <v>14.029555872885993</v>
          </cell>
        </row>
        <row r="233">
          <cell r="H233">
            <v>2.7182883160139881</v>
          </cell>
          <cell r="I233">
            <v>7.682742332876896</v>
          </cell>
          <cell r="J233">
            <v>6.0947771295780591</v>
          </cell>
          <cell r="K233">
            <v>15.049252908278422</v>
          </cell>
          <cell r="L233">
            <v>11.506255509581568</v>
          </cell>
        </row>
      </sheetData>
      <sheetData sheetId="12"/>
      <sheetData sheetId="13">
        <row r="4">
          <cell r="F4">
            <v>2021</v>
          </cell>
          <cell r="H4">
            <v>2022</v>
          </cell>
          <cell r="I4">
            <v>2023</v>
          </cell>
          <cell r="J4">
            <v>2024</v>
          </cell>
          <cell r="K4">
            <v>2025</v>
          </cell>
          <cell r="L4">
            <v>2026</v>
          </cell>
        </row>
      </sheetData>
      <sheetData sheetId="14"/>
      <sheetData sheetId="15"/>
      <sheetData sheetId="16"/>
      <sheetData sheetId="17"/>
      <sheetData sheetId="18"/>
      <sheetData sheetId="19"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1C59143-CE9A-EF49-A187-669BB86824FA}" name="Table9" displayName="Table9" ref="A22:F58" totalsRowShown="0" headerRowDxfId="56" dataDxfId="55" headerRowBorderDxfId="54">
  <tableColumns count="6">
    <tableColumn id="1" xr3:uid="{76A543C2-AB88-AE4E-B8BE-3B3EF82C8100}" name="Oly dashboard" dataDxfId="53"/>
    <tableColumn id="2" xr3:uid="{42CCE1E2-FE21-CA4D-AB18-4656238E41BA}" name="Q1 2023" dataDxfId="52"/>
    <tableColumn id="3" xr3:uid="{2CE8AB4E-7B08-7B44-A3F2-2DAA139A9AEF}" name="Q2 2023" dataDxfId="51"/>
    <tableColumn id="4" xr3:uid="{6516A173-72B5-2847-9F71-51980A66871B}" name="Q3 2023" dataDxfId="50"/>
    <tableColumn id="5" xr3:uid="{4C6A1C47-EFDE-6C4D-B2F7-5E1CEBD6F5F2}" name="Q4 2023" dataDxfId="49"/>
    <tableColumn id="6" xr3:uid="{866BCB98-7145-0144-8FA9-C39A75374619}" name="Y 2023" dataDxfId="48"/>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679A30-4BBF-3541-B3DF-A6DC429391C3}" name="Revenues" displayName="Revenues" ref="A1:N81" totalsRowShown="0" headerRowDxfId="47" dataDxfId="46">
  <autoFilter ref="A1:N81" xr:uid="{29F7291F-7D68-0B4B-9872-D0473F37A3FE}"/>
  <tableColumns count="14">
    <tableColumn id="1" xr3:uid="{39F56E76-DDB2-804C-A653-7FBA52BFD675}" name="Particulars" dataDxfId="45"/>
    <tableColumn id="2" xr3:uid="{4346149F-7483-EE4B-AF73-B792AA0B5D0E}" name="Assumption" dataDxfId="44"/>
    <tableColumn id="3" xr3:uid="{CABE993B-6807-B445-8B57-DE4354B3DE78}" name="Jan-23" dataDxfId="43"/>
    <tableColumn id="4" xr3:uid="{49D0D6B6-C0E7-4444-B498-1853A6E9FCA1}" name="Feb-23" dataDxfId="42"/>
    <tableColumn id="5" xr3:uid="{6E581FEF-1245-8444-9B40-540805A6DD8A}" name="Mar-23" dataDxfId="41"/>
    <tableColumn id="6" xr3:uid="{B8AB2695-4610-744D-A33C-40736562203D}" name="Apr-23" dataDxfId="40"/>
    <tableColumn id="7" xr3:uid="{69EE632C-A80D-774F-BB87-E796F499F4FA}" name="May-23" dataDxfId="39"/>
    <tableColumn id="8" xr3:uid="{2407D03C-100B-324B-9E87-9081D9D185F9}" name="Jun-23" dataDxfId="38"/>
    <tableColumn id="9" xr3:uid="{ADCB3DC6-E9F0-C940-874B-0F0691FBDD27}" name="Jul-23" dataDxfId="37"/>
    <tableColumn id="10" xr3:uid="{CF222553-C4EA-C749-AFDF-946784C1A5E1}" name="Aug-23" dataDxfId="36"/>
    <tableColumn id="11" xr3:uid="{00841D72-175D-E14A-9F28-EEB870242590}" name="Sep-23" dataDxfId="35"/>
    <tableColumn id="12" xr3:uid="{F5B65C43-BA7D-FA45-BBBC-571AC14DC610}" name="Oct-23" dataDxfId="34"/>
    <tableColumn id="13" xr3:uid="{7EB94C03-164E-8A40-8741-A8AF170E276B}" name="Nov-23" dataDxfId="33"/>
    <tableColumn id="14" xr3:uid="{083CABC7-3478-CC4F-B39E-0EA1FECCC102}" name="Dec-23" dataDxfId="32"/>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62F349A-600C-2E48-959C-23A45F590485}" name="Direct_Costs" displayName="Direct_Costs" ref="A1:N83" totalsRowShown="0" headerRowDxfId="31" dataDxfId="30">
  <autoFilter ref="A1:N83" xr:uid="{29F7291F-7D68-0B4B-9872-D0473F37A3FE}"/>
  <tableColumns count="14">
    <tableColumn id="1" xr3:uid="{E7C13603-DADD-504F-91DE-DCAC637280DC}" name="Particulars" dataDxfId="29"/>
    <tableColumn id="2" xr3:uid="{B78E5445-3A7E-5B4A-9EE7-0E03BCEC529B}" name="Assumption" dataDxfId="28"/>
    <tableColumn id="3" xr3:uid="{5E082B06-FC37-8F4D-9536-6E03C7733BA8}" name="Jan-23" dataDxfId="27"/>
    <tableColumn id="4" xr3:uid="{CE7EF40D-6EA6-2441-91E0-01E04189BE8E}" name="Feb-23" dataDxfId="26"/>
    <tableColumn id="5" xr3:uid="{9651F01D-A2DC-B449-A9B7-7454C8816A95}" name="Mar-23" dataDxfId="25"/>
    <tableColumn id="6" xr3:uid="{DE90E078-5CCE-4F47-A725-DA0A5AA8DA0E}" name="Apr-23" dataDxfId="24"/>
    <tableColumn id="7" xr3:uid="{F43B09B4-A86B-E04F-96AC-D0B1CCD4012B}" name="May-23" dataDxfId="23"/>
    <tableColumn id="8" xr3:uid="{BF7CE5A5-C895-974E-99F6-249566957F2E}" name="Jun-23" dataDxfId="22"/>
    <tableColumn id="9" xr3:uid="{CC43342F-B4C0-6540-8391-50CF43465C8E}" name="Jul-23" dataDxfId="21"/>
    <tableColumn id="10" xr3:uid="{3B9E280A-BD3A-7442-85B9-86CBF5008C86}" name="Aug-23" dataDxfId="20"/>
    <tableColumn id="11" xr3:uid="{0973B47B-A1DC-A448-ABA8-38898109B7AB}" name="Sep-23" dataDxfId="19"/>
    <tableColumn id="12" xr3:uid="{995A4697-310D-EF4A-910D-68CEC445BB3F}" name="Oct-23" dataDxfId="18"/>
    <tableColumn id="13" xr3:uid="{73F4201A-1378-324A-A496-74E84F999BF1}" name="Nov-23" dataDxfId="17"/>
    <tableColumn id="14" xr3:uid="{B42CAE9E-05AA-5842-B0B1-E258F9F726FE}" name="Dec-23" dataDxfId="16"/>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6E8F89F-E40D-AB4E-A212-997E36850F87}" name="Table69" displayName="Table69" ref="A1:N2" insertRow="1" totalsRowShown="0" headerRowDxfId="15" dataDxfId="14">
  <autoFilter ref="A1:N2" xr:uid="{8F268709-4316-B14C-BA0E-18A4E707CC31}"/>
  <tableColumns count="14">
    <tableColumn id="1" xr3:uid="{A8378C3F-4BAD-B547-84DA-38E207864994}" name="Particulars" dataDxfId="13"/>
    <tableColumn id="2" xr3:uid="{67557C70-F065-754F-B736-756A0848D6FC}" name="Assumption" dataDxfId="12"/>
    <tableColumn id="3" xr3:uid="{92795234-5B5C-FF47-A2EA-E7BF9A6AAF56}" name="Jan-23" dataDxfId="11"/>
    <tableColumn id="4" xr3:uid="{63D6AC44-4950-8243-A953-9669E489C336}" name="Feb-23" dataDxfId="10"/>
    <tableColumn id="5" xr3:uid="{0EF6B6D3-9AB0-3548-A18F-186014E285D6}" name="Mar-23" dataDxfId="9"/>
    <tableColumn id="6" xr3:uid="{EDAD59E3-B26A-4443-8A57-91E2829001EB}" name="Apr-23" dataDxfId="8"/>
    <tableColumn id="7" xr3:uid="{6E747038-1C6F-C04E-86BD-2C3BFC0021A8}" name="May-23" dataDxfId="7"/>
    <tableColumn id="8" xr3:uid="{2ED5CA94-7EC4-7D45-9C78-A354B98BE4DE}" name="Jun-23" dataDxfId="6"/>
    <tableColumn id="9" xr3:uid="{085AC0A0-5CEA-8B4C-B787-07E3E56E2692}" name="Jul-23" dataDxfId="5"/>
    <tableColumn id="10" xr3:uid="{FE69AF0D-7576-9241-B185-D15FC7F0A4E2}" name="Aug-23" dataDxfId="4"/>
    <tableColumn id="11" xr3:uid="{AAEFD917-122E-A544-BD5C-391418AB7A32}" name="Sep-23" dataDxfId="3"/>
    <tableColumn id="12" xr3:uid="{6F158FA3-6E8E-CF47-80D3-DA5031D6A72F}" name="Oct-23" dataDxfId="2"/>
    <tableColumn id="13" xr3:uid="{AC6A4244-73CA-E74B-9AE6-E1605839F215}" name="Nov-23" dataDxfId="1"/>
    <tableColumn id="14" xr3:uid="{8DE9741A-5F05-444E-B323-42F19B16919E}" name="Dec-23"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6BD70-EC77-415D-8516-E13DEDAE744C}">
  <dimension ref="A2:U76"/>
  <sheetViews>
    <sheetView showGridLines="0" tabSelected="1" topLeftCell="A33" zoomScale="70" zoomScaleNormal="70" workbookViewId="0">
      <selection activeCell="H70" sqref="H70"/>
    </sheetView>
  </sheetViews>
  <sheetFormatPr defaultColWidth="11" defaultRowHeight="15.75"/>
  <cols>
    <col min="1" max="1" width="27" bestFit="1" customWidth="1"/>
    <col min="2" max="2" width="21.625" customWidth="1"/>
    <col min="3" max="3" width="19.75" customWidth="1"/>
    <col min="4" max="4" width="20.75" customWidth="1"/>
    <col min="5" max="5" width="15" bestFit="1" customWidth="1"/>
    <col min="6" max="6" width="15" style="435" customWidth="1"/>
    <col min="7" max="7" width="11" style="435" customWidth="1"/>
    <col min="8" max="8" width="27" bestFit="1" customWidth="1"/>
    <col min="9" max="9" width="23.25" customWidth="1"/>
    <col min="10" max="11" width="20.75" customWidth="1"/>
    <col min="12" max="12" width="21.125" customWidth="1"/>
    <col min="13" max="13" width="26.875" customWidth="1"/>
    <col min="14" max="14" width="24.125" customWidth="1"/>
    <col min="15" max="15" width="20.75" bestFit="1" customWidth="1"/>
    <col min="16" max="16" width="21.75" bestFit="1" customWidth="1"/>
    <col min="17" max="17" width="22" customWidth="1"/>
    <col min="18" max="18" width="20.125" customWidth="1"/>
    <col min="19" max="19" width="23" customWidth="1"/>
    <col min="20" max="20" width="16.125" bestFit="1" customWidth="1"/>
    <col min="21" max="21" width="21.25" customWidth="1"/>
  </cols>
  <sheetData>
    <row r="2" spans="1:7" s="89" customFormat="1">
      <c r="A2" s="94" t="s">
        <v>0</v>
      </c>
      <c r="F2" s="434"/>
      <c r="G2" s="434"/>
    </row>
    <row r="3" spans="1:7">
      <c r="B3" s="90" t="s">
        <v>1</v>
      </c>
      <c r="C3" s="90" t="s">
        <v>2</v>
      </c>
    </row>
    <row r="4" spans="1:7">
      <c r="A4" s="90" t="s">
        <v>3</v>
      </c>
    </row>
    <row r="5" spans="1:7" hidden="1">
      <c r="A5" s="400" t="s">
        <v>4</v>
      </c>
      <c r="B5" s="399">
        <v>0</v>
      </c>
      <c r="C5" s="95">
        <f>B5*0.8</f>
        <v>0</v>
      </c>
    </row>
    <row r="6" spans="1:7">
      <c r="A6" s="401" t="s">
        <v>5</v>
      </c>
      <c r="B6" s="398">
        <v>0</v>
      </c>
      <c r="C6" s="398">
        <f>B6*0.25</f>
        <v>0</v>
      </c>
    </row>
    <row r="7" spans="1:7">
      <c r="A7" s="90" t="s">
        <v>6</v>
      </c>
      <c r="B7" s="101">
        <v>8.7500000000000008E-3</v>
      </c>
      <c r="C7" s="398">
        <v>0</v>
      </c>
    </row>
    <row r="8" spans="1:7">
      <c r="A8" s="90" t="s">
        <v>7</v>
      </c>
      <c r="B8" s="403"/>
    </row>
    <row r="9" spans="1:7">
      <c r="A9" s="401" t="s">
        <v>5</v>
      </c>
      <c r="B9" s="397">
        <v>0.01</v>
      </c>
      <c r="C9" s="95">
        <v>2E-3</v>
      </c>
    </row>
    <row r="10" spans="1:7">
      <c r="A10" s="401" t="s">
        <v>8</v>
      </c>
      <c r="B10" s="95">
        <v>2E-3</v>
      </c>
      <c r="C10" s="95">
        <v>5.0000000000000001E-4</v>
      </c>
    </row>
    <row r="11" spans="1:7">
      <c r="A11" s="6" t="s">
        <v>9</v>
      </c>
      <c r="B11" s="356">
        <v>9.99</v>
      </c>
    </row>
    <row r="12" spans="1:7">
      <c r="A12" s="1" t="s">
        <v>10</v>
      </c>
      <c r="B12" s="95">
        <v>0</v>
      </c>
    </row>
    <row r="13" spans="1:7">
      <c r="B13" s="42"/>
    </row>
    <row r="14" spans="1:7">
      <c r="A14" s="6" t="s">
        <v>11</v>
      </c>
      <c r="B14" s="350">
        <v>12000000</v>
      </c>
    </row>
    <row r="15" spans="1:7">
      <c r="B15" s="402"/>
    </row>
    <row r="16" spans="1:7">
      <c r="A16" s="6" t="s">
        <v>12</v>
      </c>
      <c r="B16" s="366">
        <v>2000</v>
      </c>
    </row>
    <row r="17" spans="1:21">
      <c r="A17" s="6" t="s">
        <v>13</v>
      </c>
      <c r="B17" s="366">
        <v>1.1299999999999999</v>
      </c>
    </row>
    <row r="19" spans="1:21">
      <c r="A19" s="6"/>
    </row>
    <row r="20" spans="1:21">
      <c r="H20" s="2"/>
      <c r="I20" s="2"/>
      <c r="J20" s="2"/>
      <c r="K20" s="2"/>
      <c r="L20" s="2"/>
      <c r="M20" s="2"/>
      <c r="N20" s="2"/>
      <c r="O20" s="2"/>
      <c r="P20" s="2"/>
      <c r="Q20" s="2"/>
      <c r="R20" s="2"/>
      <c r="S20" s="2"/>
      <c r="T20" s="2"/>
      <c r="U20" s="2"/>
    </row>
    <row r="21" spans="1:21">
      <c r="H21" s="2"/>
      <c r="I21" s="2"/>
      <c r="J21" s="2"/>
      <c r="K21" s="2"/>
      <c r="L21" s="2"/>
      <c r="M21" s="2"/>
      <c r="N21" s="2"/>
      <c r="O21" s="2"/>
      <c r="P21" s="2"/>
      <c r="Q21" s="2"/>
      <c r="R21" s="2"/>
      <c r="S21" s="2"/>
      <c r="T21" s="2"/>
      <c r="U21" s="2"/>
    </row>
    <row r="22" spans="1:21">
      <c r="A22" s="82" t="s">
        <v>14</v>
      </c>
      <c r="B22" s="83" t="s">
        <v>15</v>
      </c>
      <c r="C22" s="84" t="s">
        <v>16</v>
      </c>
      <c r="D22" s="84" t="s">
        <v>17</v>
      </c>
      <c r="E22" s="85" t="s">
        <v>18</v>
      </c>
      <c r="F22" s="436" t="s">
        <v>19</v>
      </c>
      <c r="H22" s="369"/>
      <c r="I22" s="369"/>
      <c r="J22" s="370"/>
      <c r="K22" s="370"/>
      <c r="L22" s="370"/>
      <c r="M22" s="370"/>
      <c r="N22" s="370"/>
      <c r="O22" s="2"/>
      <c r="P22" s="369"/>
      <c r="Q22" s="370"/>
      <c r="R22" s="370"/>
      <c r="S22" s="370"/>
      <c r="T22" s="370"/>
      <c r="U22" s="370"/>
    </row>
    <row r="23" spans="1:21">
      <c r="A23" s="72"/>
      <c r="B23" s="79"/>
      <c r="C23" s="80"/>
      <c r="D23" s="80"/>
      <c r="E23" s="81"/>
      <c r="F23" s="437"/>
      <c r="H23" s="72"/>
      <c r="I23" s="72"/>
      <c r="J23" s="80"/>
      <c r="K23" s="80"/>
      <c r="L23" s="80"/>
      <c r="M23" s="80"/>
      <c r="N23" s="371"/>
      <c r="O23" s="2"/>
      <c r="P23" s="72"/>
      <c r="Q23" s="80"/>
      <c r="R23" s="80"/>
      <c r="S23" s="80"/>
      <c r="T23" s="80"/>
      <c r="U23" s="371"/>
    </row>
    <row r="24" spans="1:21">
      <c r="A24" s="1" t="s">
        <v>20</v>
      </c>
      <c r="B24" s="19"/>
      <c r="C24" s="2"/>
      <c r="D24" s="2"/>
      <c r="E24" s="21"/>
      <c r="F24" s="437"/>
      <c r="H24" s="1"/>
      <c r="I24" s="1"/>
      <c r="J24" s="2"/>
      <c r="K24" s="2"/>
      <c r="L24" s="2"/>
      <c r="M24" s="2"/>
      <c r="N24" s="371"/>
      <c r="O24" s="2"/>
      <c r="P24" s="1"/>
      <c r="Q24" s="23"/>
      <c r="R24" s="23"/>
      <c r="S24" s="23"/>
      <c r="T24" s="23"/>
      <c r="U24" s="23"/>
    </row>
    <row r="25" spans="1:21">
      <c r="A25" s="355" t="s">
        <v>21</v>
      </c>
      <c r="B25" s="378">
        <f>SUM('Revenues'!C9:E9)</f>
        <v>59626.139999999992</v>
      </c>
      <c r="C25" s="379">
        <f>SUM('Revenues'!F9:H9)</f>
        <v>246301.44</v>
      </c>
      <c r="D25" s="379">
        <f>SUM('Revenues'!I9:K9)</f>
        <v>799580.04</v>
      </c>
      <c r="E25" s="380">
        <f>SUM('Revenues'!L9:N9)</f>
        <v>2593012.38</v>
      </c>
      <c r="F25" s="438">
        <f>SUM(Table9[[#This Row],[Q1 2023]:[Q4 2023]])</f>
        <v>3698520</v>
      </c>
      <c r="H25" s="3"/>
      <c r="I25" s="23"/>
      <c r="J25" s="23"/>
      <c r="K25" s="23"/>
      <c r="L25" s="23"/>
      <c r="M25" s="23"/>
      <c r="N25" s="372"/>
      <c r="O25" s="2"/>
      <c r="P25" s="9"/>
      <c r="Q25" s="23"/>
      <c r="R25" s="23"/>
      <c r="S25" s="23"/>
      <c r="T25" s="23"/>
      <c r="U25" s="23"/>
    </row>
    <row r="26" spans="1:21">
      <c r="A26" s="3" t="s">
        <v>3</v>
      </c>
      <c r="B26" s="382">
        <f>SUM('Revenues'!C21:E21)</f>
        <v>0</v>
      </c>
      <c r="C26" s="383">
        <f>SUM('Revenues'!F21:H21)</f>
        <v>0</v>
      </c>
      <c r="D26" s="383">
        <f>SUM('Revenues'!I21:K21)</f>
        <v>0</v>
      </c>
      <c r="E26" s="384">
        <f>SUM('Revenues'!L21:N21)</f>
        <v>0</v>
      </c>
      <c r="F26" s="439">
        <f>SUM(Table9[[#This Row],[Q1 2023]:[Q4 2023]])</f>
        <v>0</v>
      </c>
      <c r="H26" s="3"/>
      <c r="I26" s="23"/>
      <c r="J26" s="23"/>
      <c r="K26" s="23"/>
      <c r="L26" s="23"/>
      <c r="M26" s="23"/>
      <c r="N26" s="23"/>
      <c r="O26" s="2"/>
      <c r="P26" s="9"/>
      <c r="Q26" s="18"/>
      <c r="R26" s="18"/>
      <c r="S26" s="18"/>
      <c r="T26" s="18"/>
      <c r="U26" s="18"/>
    </row>
    <row r="27" spans="1:21">
      <c r="A27" s="3" t="s">
        <v>22</v>
      </c>
      <c r="B27" s="382">
        <f>SUM('Revenues'!C29:E29)</f>
        <v>15933.575000000003</v>
      </c>
      <c r="C27" s="383">
        <f>SUM('Revenues'!F29:H29)</f>
        <v>51386.158928125005</v>
      </c>
      <c r="D27" s="383">
        <f>SUM('Revenues'!I29:K29)</f>
        <v>166835.90360513399</v>
      </c>
      <c r="E27" s="384">
        <f>SUM('Revenues'!L29:N29)</f>
        <v>541434.08926204941</v>
      </c>
      <c r="F27" s="439">
        <f>SUM(Table9[[#This Row],[Q1 2023]:[Q4 2023]])</f>
        <v>775589.72679530841</v>
      </c>
      <c r="H27" s="5"/>
      <c r="I27" s="18"/>
      <c r="J27" s="18"/>
      <c r="K27" s="18"/>
      <c r="L27" s="18"/>
      <c r="M27" s="18"/>
      <c r="N27" s="18"/>
      <c r="O27" s="2"/>
      <c r="P27" s="1"/>
      <c r="Q27" s="23"/>
      <c r="R27" s="23"/>
      <c r="S27" s="23"/>
      <c r="T27" s="23"/>
      <c r="U27" s="23"/>
    </row>
    <row r="28" spans="1:21">
      <c r="A28" s="3" t="s">
        <v>7</v>
      </c>
      <c r="B28" s="382">
        <f>SUM('Revenues'!C39:E39)</f>
        <v>26222.111999999997</v>
      </c>
      <c r="C28" s="383">
        <f>SUM('Revenues'!F39:H39)</f>
        <v>84566.93583599999</v>
      </c>
      <c r="D28" s="383">
        <f>SUM('Revenues'!I39:K39)</f>
        <v>274564.22993302048</v>
      </c>
      <c r="E28" s="384">
        <f>SUM('Revenues'!L39:N39)</f>
        <v>891045.81547125836</v>
      </c>
      <c r="F28" s="439">
        <f>SUM(Table9[[#This Row],[Q1 2023]:[Q4 2023]])</f>
        <v>1276399.0932402788</v>
      </c>
      <c r="H28" s="2"/>
      <c r="I28" s="2"/>
      <c r="J28" s="2"/>
      <c r="K28" s="2"/>
      <c r="L28" s="2"/>
      <c r="M28" s="2"/>
      <c r="N28" s="371"/>
      <c r="O28" s="2"/>
      <c r="P28" s="5"/>
      <c r="Q28" s="18"/>
      <c r="R28" s="18"/>
      <c r="S28" s="18"/>
      <c r="T28" s="18"/>
      <c r="U28" s="18"/>
    </row>
    <row r="29" spans="1:21">
      <c r="A29" s="3" t="s">
        <v>23</v>
      </c>
      <c r="B29" s="382">
        <f>SUM('Revenues'!C55:E55)</f>
        <v>0</v>
      </c>
      <c r="C29" s="383">
        <f>SUM('Revenues'!F55:H55)</f>
        <v>0</v>
      </c>
      <c r="D29" s="383">
        <f>SUM('Revenues'!I55:K55)</f>
        <v>0</v>
      </c>
      <c r="E29" s="384">
        <f>SUM('Revenues'!L55:N55)</f>
        <v>0</v>
      </c>
      <c r="F29" s="439">
        <f>SUM(Table9[[#This Row],[Q1 2023]:[Q4 2023]])</f>
        <v>0</v>
      </c>
      <c r="H29" s="9"/>
      <c r="I29" s="2"/>
      <c r="J29" s="2"/>
      <c r="K29" s="2"/>
      <c r="L29" s="2"/>
      <c r="M29" s="2"/>
      <c r="N29" s="371"/>
      <c r="O29" s="2"/>
      <c r="P29" s="367"/>
      <c r="Q29" s="23"/>
      <c r="R29" s="23"/>
      <c r="S29" s="23"/>
      <c r="T29" s="23"/>
      <c r="U29" s="23"/>
    </row>
    <row r="30" spans="1:21">
      <c r="A30" s="3" t="s">
        <v>9</v>
      </c>
      <c r="B30" s="382">
        <f>SUM('Revenues'!C62:E62)</f>
        <v>4547.8975499999997</v>
      </c>
      <c r="C30" s="383">
        <f>SUM('Revenues'!F62:H62)</f>
        <v>14667.077934056251</v>
      </c>
      <c r="D30" s="383">
        <f>SUM('Revenues'!I62:K62)</f>
        <v>47619.733629008246</v>
      </c>
      <c r="E30" s="384">
        <f>SUM('Revenues'!L62:N62)</f>
        <v>154540.75862079638</v>
      </c>
      <c r="F30" s="439">
        <f>SUM(Table9[[#This Row],[Q1 2023]:[Q4 2023]])</f>
        <v>221375.46773386089</v>
      </c>
      <c r="H30" s="3"/>
      <c r="I30" s="23"/>
      <c r="J30" s="23"/>
      <c r="K30" s="23"/>
      <c r="L30" s="23"/>
      <c r="M30" s="23"/>
      <c r="N30" s="372"/>
      <c r="O30" s="2"/>
      <c r="P30" s="5"/>
      <c r="Q30" s="18"/>
      <c r="R30" s="18"/>
      <c r="S30" s="18"/>
      <c r="T30" s="18"/>
      <c r="U30" s="18"/>
    </row>
    <row r="31" spans="1:21">
      <c r="A31" s="3" t="s">
        <v>24</v>
      </c>
      <c r="B31" s="382">
        <f>SUM('Revenues'!C75:E75)</f>
        <v>0</v>
      </c>
      <c r="C31" s="383">
        <f>SUM('Revenues'!F75:H75)</f>
        <v>0</v>
      </c>
      <c r="D31" s="383">
        <f>SUM('Revenues'!I75:K75)</f>
        <v>0</v>
      </c>
      <c r="E31" s="384">
        <f>SUM('Revenues'!L75:N75)</f>
        <v>0</v>
      </c>
      <c r="F31" s="439">
        <f>SUM(Table9[[#This Row],[Q1 2023]:[Q4 2023]])</f>
        <v>0</v>
      </c>
      <c r="H31" s="3"/>
      <c r="I31" s="23"/>
      <c r="J31" s="23"/>
      <c r="K31" s="23"/>
      <c r="L31" s="23"/>
      <c r="M31" s="23"/>
      <c r="N31" s="372"/>
      <c r="O31" s="2"/>
      <c r="P31" s="2"/>
      <c r="Q31" s="2"/>
      <c r="R31" s="2"/>
      <c r="S31" s="2"/>
      <c r="T31" s="2"/>
      <c r="U31" s="2"/>
    </row>
    <row r="32" spans="1:21">
      <c r="A32" s="74" t="s">
        <v>25</v>
      </c>
      <c r="B32" s="412">
        <f>SUM(B25:B31)</f>
        <v>106329.72454999998</v>
      </c>
      <c r="C32" s="412">
        <f>SUM(C25:C31)</f>
        <v>396921.61269818124</v>
      </c>
      <c r="D32" s="412">
        <f>SUM(D25:D31)</f>
        <v>1288599.9071671627</v>
      </c>
      <c r="E32" s="412">
        <f>SUM(E25:E31)</f>
        <v>4180033.0433541043</v>
      </c>
      <c r="F32" s="440">
        <f>SUM(Table9[[#This Row],[Q1 2023]:[Q4 2023]])</f>
        <v>5971884.287769448</v>
      </c>
      <c r="H32" s="3"/>
      <c r="I32" s="23"/>
      <c r="J32" s="23"/>
      <c r="K32" s="23"/>
      <c r="L32" s="23"/>
      <c r="M32" s="23"/>
      <c r="N32" s="23"/>
      <c r="O32" s="2"/>
      <c r="P32" s="2"/>
      <c r="Q32" s="373"/>
      <c r="R32" s="23"/>
      <c r="S32" s="23"/>
      <c r="T32" s="23"/>
      <c r="U32" s="2"/>
    </row>
    <row r="33" spans="1:21" s="6" customFormat="1">
      <c r="A33" s="2"/>
      <c r="B33" s="382"/>
      <c r="C33" s="383"/>
      <c r="D33" s="383"/>
      <c r="E33" s="384"/>
      <c r="F33" s="441"/>
      <c r="G33" s="452"/>
      <c r="H33" s="2"/>
      <c r="I33" s="2"/>
      <c r="J33" s="2"/>
      <c r="K33" s="2"/>
      <c r="L33" s="2"/>
      <c r="M33" s="2"/>
      <c r="N33" s="371"/>
      <c r="O33" s="1"/>
      <c r="P33" s="374"/>
      <c r="Q33" s="375"/>
      <c r="R33" s="375"/>
      <c r="S33" s="375"/>
      <c r="T33" s="375"/>
      <c r="U33" s="375"/>
    </row>
    <row r="34" spans="1:21">
      <c r="A34" s="9" t="s">
        <v>26</v>
      </c>
      <c r="B34" s="382"/>
      <c r="C34" s="383"/>
      <c r="D34" s="383"/>
      <c r="E34" s="384"/>
      <c r="F34" s="441"/>
      <c r="H34" s="9"/>
      <c r="I34" s="18"/>
      <c r="J34" s="18"/>
      <c r="K34" s="18"/>
      <c r="L34" s="18"/>
      <c r="M34" s="18"/>
      <c r="N34" s="376"/>
      <c r="O34" s="2"/>
      <c r="P34" s="2"/>
      <c r="Q34" s="2"/>
      <c r="R34" s="2"/>
      <c r="S34" s="2"/>
      <c r="T34" s="2"/>
      <c r="U34" s="2"/>
    </row>
    <row r="35" spans="1:21">
      <c r="A35" s="3" t="s">
        <v>21</v>
      </c>
      <c r="B35" s="382">
        <f>-SUM('Direct Costs'!C11:E11)</f>
        <v>-54184.643999999993</v>
      </c>
      <c r="C35" s="383">
        <f>-SUM('Direct Costs'!F11:H11)</f>
        <v>-121761.02399999999</v>
      </c>
      <c r="D35" s="383">
        <f>-SUM('Direct Costs'!I11:K11)</f>
        <v>-395278.58400000003</v>
      </c>
      <c r="E35" s="384">
        <f>-SUM('Direct Costs'!L11:N11)</f>
        <v>-1281875.7480000001</v>
      </c>
      <c r="F35" s="441">
        <f>SUM(Table9[[#This Row],[Q1 2023]:[Q4 2023]])</f>
        <v>-1853100</v>
      </c>
      <c r="H35" s="2"/>
      <c r="I35" s="368"/>
      <c r="J35" s="368"/>
      <c r="K35" s="368"/>
      <c r="L35" s="368"/>
      <c r="M35" s="368"/>
      <c r="N35" s="371"/>
      <c r="O35" s="2"/>
      <c r="P35" s="2"/>
      <c r="Q35" s="2"/>
      <c r="R35" s="2"/>
      <c r="S35" s="2"/>
      <c r="T35" s="2"/>
      <c r="U35" s="2"/>
    </row>
    <row r="36" spans="1:21">
      <c r="A36" s="3" t="s">
        <v>3</v>
      </c>
      <c r="B36" s="382">
        <f>-SUM('Direct Costs'!C23:E23)</f>
        <v>0</v>
      </c>
      <c r="C36" s="383">
        <f>-SUM('Direct Costs'!F23:H23)</f>
        <v>0</v>
      </c>
      <c r="D36" s="383">
        <f>-SUM('Direct Costs'!I23:K23)</f>
        <v>0</v>
      </c>
      <c r="E36" s="384">
        <f>-SUM('Direct Costs'!L23:N23)</f>
        <v>0</v>
      </c>
      <c r="F36" s="441">
        <f>SUM(Table9[[#This Row],[Q1 2023]:[Q4 2023]])</f>
        <v>0</v>
      </c>
      <c r="H36" s="1"/>
      <c r="I36" s="2"/>
      <c r="J36" s="2"/>
      <c r="K36" s="2"/>
      <c r="L36" s="2"/>
      <c r="M36" s="2"/>
      <c r="N36" s="371"/>
      <c r="O36" s="2"/>
      <c r="P36" s="2"/>
      <c r="Q36" s="2"/>
      <c r="R36" s="2"/>
      <c r="S36" s="2"/>
      <c r="T36" s="2"/>
      <c r="U36" s="2"/>
    </row>
    <row r="37" spans="1:21">
      <c r="A37" s="3" t="s">
        <v>22</v>
      </c>
      <c r="B37" s="382">
        <f>-SUM('Direct Costs'!C31:E31)</f>
        <v>0</v>
      </c>
      <c r="C37" s="383">
        <f>-SUM('Direct Costs'!F31:H31)</f>
        <v>0</v>
      </c>
      <c r="D37" s="383">
        <f>-SUM('Direct Costs'!I31:K31)</f>
        <v>0</v>
      </c>
      <c r="E37" s="384">
        <f>-SUM('Direct Costs'!L31:N31)</f>
        <v>0</v>
      </c>
      <c r="F37" s="441">
        <f>SUM(Table9[[#This Row],[Q1 2023]:[Q4 2023]])</f>
        <v>0</v>
      </c>
      <c r="H37" s="3"/>
      <c r="I37" s="409"/>
      <c r="J37" s="23"/>
      <c r="K37" s="23"/>
      <c r="L37" s="23"/>
      <c r="M37" s="23"/>
      <c r="N37" s="372"/>
      <c r="O37" s="2"/>
      <c r="P37" s="2"/>
      <c r="Q37" s="2"/>
      <c r="R37" s="2"/>
      <c r="S37" s="2"/>
      <c r="T37" s="2"/>
      <c r="U37" s="2"/>
    </row>
    <row r="38" spans="1:21">
      <c r="A38" s="3" t="s">
        <v>27</v>
      </c>
      <c r="B38" s="382">
        <f>-SUM('Direct Costs'!C39:E39)</f>
        <v>-1121.76</v>
      </c>
      <c r="C38" s="383">
        <f>-SUM('Direct Costs'!F39:H39)</f>
        <v>-3642.6</v>
      </c>
      <c r="D38" s="383">
        <f>-SUM('Direct Costs'!I39:K39)</f>
        <v>-11826.48</v>
      </c>
      <c r="E38" s="384">
        <f>-SUM('Direct Costs'!L39:N39)</f>
        <v>-38381.040000000001</v>
      </c>
      <c r="F38" s="441">
        <f>SUM(Table9[[#This Row],[Q1 2023]:[Q4 2023]])</f>
        <v>-54971.880000000005</v>
      </c>
      <c r="H38" s="3"/>
      <c r="I38" s="23"/>
      <c r="J38" s="23"/>
      <c r="K38" s="23"/>
      <c r="L38" s="23"/>
      <c r="M38" s="23"/>
      <c r="N38" s="372"/>
      <c r="O38" s="2"/>
      <c r="P38" s="2"/>
      <c r="Q38" s="2"/>
      <c r="R38" s="2"/>
      <c r="S38" s="2"/>
      <c r="T38" s="2"/>
      <c r="U38" s="2"/>
    </row>
    <row r="39" spans="1:21">
      <c r="A39" s="3" t="s">
        <v>23</v>
      </c>
      <c r="B39" s="382">
        <f>-SUM('Direct Costs'!C55:E55)</f>
        <v>0</v>
      </c>
      <c r="C39" s="383">
        <f>-SUM('Direct Costs'!F55:H55)</f>
        <v>0</v>
      </c>
      <c r="D39" s="383">
        <f>-SUM('Direct Costs'!I55:K55)</f>
        <v>0</v>
      </c>
      <c r="E39" s="384">
        <f>SUM('Direct Costs'!L55:N55)</f>
        <v>0</v>
      </c>
      <c r="F39" s="441">
        <f>SUM(Table9[[#This Row],[Q1 2023]:[Q4 2023]])</f>
        <v>0</v>
      </c>
      <c r="H39" s="3"/>
      <c r="I39" s="23"/>
      <c r="J39" s="23"/>
      <c r="K39" s="23"/>
      <c r="L39" s="23"/>
      <c r="M39" s="23"/>
      <c r="N39" s="372"/>
      <c r="O39" s="2"/>
      <c r="P39" s="2"/>
      <c r="Q39" s="2"/>
      <c r="R39" s="2"/>
      <c r="S39" s="2"/>
      <c r="T39" s="2"/>
      <c r="U39" s="2"/>
    </row>
    <row r="40" spans="1:21">
      <c r="A40" s="3" t="s">
        <v>9</v>
      </c>
      <c r="B40" s="382">
        <f>-SUM('Direct Costs'!C64:E64)</f>
        <v>-3417.1469999999999</v>
      </c>
      <c r="C40" s="383">
        <f>-SUM('Direct Costs'!F64:H64)</f>
        <v>-9373.2969999999987</v>
      </c>
      <c r="D40" s="383">
        <f>-SUM('Direct Costs'!I64:K64)</f>
        <v>-32092.127</v>
      </c>
      <c r="E40" s="384">
        <f>-SUM('Direct Costs'!L64:N64)</f>
        <v>-102454.75900000001</v>
      </c>
      <c r="F40" s="441">
        <f>SUM(Table9[[#This Row],[Q1 2023]:[Q4 2023]])</f>
        <v>-147337.33000000002</v>
      </c>
      <c r="H40" s="3"/>
      <c r="I40" s="23"/>
      <c r="J40" s="23"/>
      <c r="K40" s="23"/>
      <c r="L40" s="23"/>
      <c r="M40" s="23"/>
      <c r="N40" s="372"/>
      <c r="O40" s="2"/>
      <c r="P40" s="2"/>
      <c r="Q40" s="2"/>
      <c r="R40" s="2"/>
      <c r="S40" s="2"/>
      <c r="T40" s="2"/>
      <c r="U40" s="2"/>
    </row>
    <row r="41" spans="1:21">
      <c r="A41" s="3" t="s">
        <v>24</v>
      </c>
      <c r="B41" s="382">
        <f>-SUM('Direct Costs'!C77:E77)</f>
        <v>0</v>
      </c>
      <c r="C41" s="383">
        <f>-SUM('Direct Costs'!F77:H77)</f>
        <v>0</v>
      </c>
      <c r="D41" s="383">
        <f>-SUM('Direct Costs'!I77:K77)</f>
        <v>0</v>
      </c>
      <c r="E41" s="384">
        <f>-SUM('Direct Costs'!L77:N77)</f>
        <v>0</v>
      </c>
      <c r="F41" s="441">
        <f>SUM(Table9[[#This Row],[Q1 2023]:[Q4 2023]])</f>
        <v>0</v>
      </c>
      <c r="H41" s="5"/>
      <c r="I41" s="18"/>
      <c r="J41" s="18"/>
      <c r="K41" s="18"/>
      <c r="L41" s="18"/>
      <c r="M41" s="18"/>
      <c r="N41" s="376"/>
      <c r="O41" s="2"/>
      <c r="P41" s="2"/>
      <c r="Q41" s="2"/>
      <c r="R41" s="2"/>
      <c r="S41" s="2"/>
      <c r="T41" s="2"/>
      <c r="U41" s="2"/>
    </row>
    <row r="42" spans="1:21">
      <c r="A42" s="74" t="s">
        <v>28</v>
      </c>
      <c r="B42" s="412">
        <f>SUM(B35:B41)</f>
        <v>-58723.550999999992</v>
      </c>
      <c r="C42" s="412">
        <f>SUM(C35:C41)</f>
        <v>-134776.921</v>
      </c>
      <c r="D42" s="412">
        <f>SUM(D35:D41)</f>
        <v>-439197.19099999999</v>
      </c>
      <c r="E42" s="412">
        <f>SUM(E35:E41)</f>
        <v>-1422711.5470000003</v>
      </c>
      <c r="F42" s="442">
        <f>SUM(Table9[[#This Row],[Q1 2023]:[Q4 2023]])</f>
        <v>-2055409.2100000002</v>
      </c>
      <c r="H42" s="2"/>
      <c r="I42" s="2"/>
      <c r="J42" s="2"/>
      <c r="K42" s="2"/>
      <c r="L42" s="2"/>
      <c r="M42" s="2"/>
      <c r="N42" s="371"/>
      <c r="O42" s="2"/>
      <c r="P42" s="2"/>
      <c r="Q42" s="2"/>
      <c r="R42" s="2"/>
      <c r="S42" s="2"/>
      <c r="T42" s="2"/>
      <c r="U42" s="2"/>
    </row>
    <row r="43" spans="1:21" s="6" customFormat="1">
      <c r="A43" s="2"/>
      <c r="B43" s="382"/>
      <c r="C43" s="383"/>
      <c r="D43" s="383"/>
      <c r="E43" s="384"/>
      <c r="F43" s="441"/>
      <c r="G43" s="452"/>
      <c r="H43" s="3"/>
      <c r="I43" s="23"/>
      <c r="J43" s="23"/>
      <c r="K43" s="23"/>
      <c r="L43" s="23"/>
      <c r="M43" s="23"/>
      <c r="N43" s="371"/>
      <c r="O43" s="1"/>
      <c r="P43" s="1"/>
      <c r="Q43" s="1"/>
      <c r="R43" s="1"/>
      <c r="S43" s="1"/>
      <c r="T43" s="1"/>
      <c r="U43" s="1"/>
    </row>
    <row r="44" spans="1:21" ht="16.5" thickBot="1">
      <c r="A44" s="11" t="s">
        <v>29</v>
      </c>
      <c r="B44" s="413">
        <f>B32+B42</f>
        <v>47606.173549999992</v>
      </c>
      <c r="C44" s="413">
        <f>C32+C42</f>
        <v>262144.69169818121</v>
      </c>
      <c r="D44" s="413">
        <f>D32+D42</f>
        <v>849402.71616716275</v>
      </c>
      <c r="E44" s="413">
        <f>E32+E42</f>
        <v>2757321.496354104</v>
      </c>
      <c r="F44" s="443">
        <f>F32+F42</f>
        <v>3916475.077769448</v>
      </c>
      <c r="H44" s="3"/>
      <c r="I44" s="23"/>
      <c r="J44" s="23"/>
      <c r="K44" s="23"/>
      <c r="L44" s="23"/>
      <c r="M44" s="23"/>
      <c r="N44" s="371"/>
      <c r="O44" s="2"/>
      <c r="P44" s="2"/>
      <c r="Q44" s="2"/>
      <c r="R44" s="2"/>
      <c r="S44" s="2"/>
      <c r="T44" s="2"/>
      <c r="U44" s="2"/>
    </row>
    <row r="45" spans="1:21" s="6" customFormat="1" ht="16.5" thickTop="1">
      <c r="A45" s="2"/>
      <c r="B45" s="382"/>
      <c r="C45" s="383"/>
      <c r="D45" s="383"/>
      <c r="E45" s="384"/>
      <c r="F45" s="441"/>
      <c r="G45" s="452"/>
      <c r="H45" s="367"/>
      <c r="I45" s="23"/>
      <c r="J45" s="23"/>
      <c r="K45" s="23"/>
      <c r="L45" s="23"/>
      <c r="M45" s="23"/>
      <c r="N45" s="372"/>
      <c r="O45" s="1"/>
      <c r="P45" s="1"/>
      <c r="Q45" s="1"/>
      <c r="R45" s="1"/>
      <c r="S45" s="1"/>
      <c r="T45" s="1"/>
      <c r="U45" s="1"/>
    </row>
    <row r="46" spans="1:21">
      <c r="A46" s="1" t="s">
        <v>30</v>
      </c>
      <c r="B46" s="382"/>
      <c r="C46" s="383"/>
      <c r="D46" s="383"/>
      <c r="E46" s="384"/>
      <c r="F46" s="441"/>
      <c r="H46" s="3"/>
      <c r="I46" s="23"/>
      <c r="J46" s="23"/>
      <c r="K46" s="23"/>
      <c r="L46" s="23"/>
      <c r="M46" s="23"/>
      <c r="N46" s="372"/>
      <c r="O46" s="2"/>
      <c r="P46" s="2"/>
      <c r="Q46" s="2"/>
      <c r="R46" s="2"/>
      <c r="S46" s="2"/>
      <c r="T46" s="2"/>
      <c r="U46" s="2"/>
    </row>
    <row r="47" spans="1:21">
      <c r="A47" s="3" t="s">
        <v>31</v>
      </c>
      <c r="B47" s="385">
        <v>-665850.14400000009</v>
      </c>
      <c r="C47" s="386">
        <v>-665850.14400000009</v>
      </c>
      <c r="D47" s="386">
        <v>-682241.39400000009</v>
      </c>
      <c r="E47" s="387">
        <v>-682241.39400000009</v>
      </c>
      <c r="F47" s="444">
        <v>-2696183.0760000004</v>
      </c>
      <c r="H47" s="5"/>
      <c r="I47" s="18"/>
      <c r="J47" s="18"/>
      <c r="K47" s="18"/>
      <c r="L47" s="18"/>
      <c r="M47" s="18"/>
      <c r="N47" s="376"/>
      <c r="O47" s="2"/>
      <c r="P47" s="2"/>
      <c r="Q47" s="2"/>
      <c r="R47" s="2"/>
      <c r="S47" s="2"/>
      <c r="T47" s="2"/>
      <c r="U47" s="2"/>
    </row>
    <row r="48" spans="1:21">
      <c r="A48" s="3" t="s">
        <v>32</v>
      </c>
      <c r="B48" s="382">
        <v>-600304.11440000008</v>
      </c>
      <c r="C48" s="383">
        <v>-160304.11440000002</v>
      </c>
      <c r="D48" s="383">
        <v>-163582.36440000002</v>
      </c>
      <c r="E48" s="384">
        <v>-163582.36440000002</v>
      </c>
      <c r="F48" s="441">
        <v>-1087772.9576000003</v>
      </c>
      <c r="H48" s="3"/>
      <c r="I48" s="23"/>
      <c r="J48" s="23"/>
      <c r="K48" s="23"/>
      <c r="L48" s="23"/>
      <c r="M48" s="23"/>
      <c r="N48" s="371"/>
      <c r="O48" s="2"/>
      <c r="P48" s="2"/>
      <c r="Q48" s="2"/>
      <c r="R48" s="2"/>
      <c r="S48" s="2"/>
      <c r="T48" s="2"/>
      <c r="U48" s="2"/>
    </row>
    <row r="49" spans="1:21">
      <c r="A49" s="74" t="s">
        <v>33</v>
      </c>
      <c r="B49" s="412">
        <v>-1266154.2584000002</v>
      </c>
      <c r="C49" s="414">
        <v>-826154.25840000017</v>
      </c>
      <c r="D49" s="414">
        <v>-845823.75840000017</v>
      </c>
      <c r="E49" s="381">
        <v>-845823.75840000017</v>
      </c>
      <c r="F49" s="445">
        <v>-3783956.0336000007</v>
      </c>
      <c r="H49" s="5"/>
      <c r="I49" s="18"/>
      <c r="J49" s="18"/>
      <c r="K49" s="18"/>
      <c r="L49" s="18"/>
      <c r="M49" s="18"/>
      <c r="N49" s="18"/>
      <c r="O49" s="2"/>
      <c r="P49" s="2"/>
      <c r="Q49" s="2"/>
      <c r="R49" s="2"/>
      <c r="S49" s="2"/>
      <c r="T49" s="2"/>
      <c r="U49" s="2"/>
    </row>
    <row r="50" spans="1:21">
      <c r="A50" s="2"/>
      <c r="B50" s="382"/>
      <c r="C50" s="383"/>
      <c r="D50" s="383"/>
      <c r="E50" s="384"/>
      <c r="F50" s="441"/>
      <c r="H50" s="3"/>
      <c r="I50" s="2"/>
      <c r="J50" s="23"/>
      <c r="K50" s="23"/>
      <c r="L50" s="23"/>
      <c r="M50" s="23"/>
      <c r="N50" s="371"/>
      <c r="O50" s="2"/>
      <c r="P50" s="2"/>
      <c r="Q50" s="2"/>
      <c r="R50" s="2"/>
      <c r="S50" s="2"/>
      <c r="T50" s="2"/>
      <c r="U50" s="2"/>
    </row>
    <row r="51" spans="1:21" ht="16.5" thickBot="1">
      <c r="A51" s="86" t="s">
        <v>34</v>
      </c>
      <c r="B51" s="415">
        <v>-1218548.0848500002</v>
      </c>
      <c r="C51" s="415">
        <v>-564009.56670181896</v>
      </c>
      <c r="D51" s="415">
        <v>3578.9577671625884</v>
      </c>
      <c r="E51" s="415">
        <v>1911497.7379541039</v>
      </c>
      <c r="F51" s="443">
        <v>132519.04416944738</v>
      </c>
      <c r="H51" s="2"/>
      <c r="I51" s="2"/>
      <c r="J51" s="373"/>
      <c r="K51" s="23"/>
      <c r="L51" s="23"/>
      <c r="M51" s="23"/>
      <c r="N51" s="2"/>
      <c r="O51" s="2"/>
      <c r="P51" s="2"/>
      <c r="Q51" s="2"/>
      <c r="R51" s="2"/>
      <c r="S51" s="2"/>
      <c r="T51" s="2"/>
      <c r="U51" s="2"/>
    </row>
    <row r="52" spans="1:21" ht="16.5" thickTop="1">
      <c r="A52" s="96"/>
      <c r="B52" s="383"/>
      <c r="C52" s="383"/>
      <c r="D52" s="383"/>
      <c r="E52" s="383"/>
      <c r="F52" s="446"/>
      <c r="H52" s="2"/>
      <c r="I52" s="2"/>
      <c r="J52" s="23"/>
      <c r="K52" s="23"/>
      <c r="L52" s="23"/>
      <c r="M52" s="23"/>
      <c r="N52" s="23"/>
      <c r="O52" s="2"/>
      <c r="P52" s="2"/>
      <c r="Q52" s="2"/>
      <c r="R52" s="2"/>
      <c r="S52" s="2"/>
      <c r="T52" s="2"/>
      <c r="U52" s="2"/>
    </row>
    <row r="53" spans="1:21">
      <c r="A53" s="5" t="s">
        <v>35</v>
      </c>
      <c r="B53" s="382"/>
      <c r="C53" s="383"/>
      <c r="D53" s="383"/>
      <c r="E53" s="384"/>
      <c r="F53" s="441"/>
      <c r="H53" s="374"/>
      <c r="I53" s="2"/>
      <c r="J53" s="375"/>
      <c r="K53" s="375"/>
      <c r="L53" s="375"/>
      <c r="M53" s="375"/>
      <c r="N53" s="375"/>
      <c r="O53" s="2"/>
      <c r="P53" s="2"/>
      <c r="Q53" s="2"/>
      <c r="R53" s="2"/>
      <c r="S53" s="2"/>
      <c r="T53" s="2"/>
      <c r="U53" s="2"/>
    </row>
    <row r="54" spans="1:21">
      <c r="A54" s="5"/>
      <c r="B54" s="22"/>
      <c r="C54" s="23"/>
      <c r="D54" s="23"/>
      <c r="E54" s="24"/>
      <c r="F54" s="446"/>
      <c r="H54" s="2"/>
      <c r="I54" s="2"/>
      <c r="J54" s="2"/>
      <c r="K54" s="2"/>
      <c r="L54" s="2"/>
      <c r="M54" s="2"/>
      <c r="N54" s="2"/>
      <c r="O54" s="2"/>
      <c r="P54" s="2"/>
      <c r="Q54" s="2"/>
      <c r="R54" s="2"/>
      <c r="S54" s="2"/>
      <c r="T54" s="2"/>
      <c r="U54" s="2"/>
    </row>
    <row r="55" spans="1:21">
      <c r="A55" s="3" t="s">
        <v>36</v>
      </c>
      <c r="B55" s="382">
        <f>-SUM('Oly CAPEX'!C18:E18)</f>
        <v>-141250</v>
      </c>
      <c r="C55" s="382">
        <f>-SUM('Oly CAPEX'!D18:F18)</f>
        <v>-55250</v>
      </c>
      <c r="D55" s="382">
        <f>-SUM('Oly CAPEX'!E18:G18)</f>
        <v>-85250</v>
      </c>
      <c r="E55" s="382">
        <f>-SUM('Oly CAPEX'!F18:H18)</f>
        <v>-55250</v>
      </c>
      <c r="F55" s="441">
        <f>SUM(Table9[[#This Row],[Q1 2023]:[Q4 2023]])</f>
        <v>-337000</v>
      </c>
      <c r="H55" s="2"/>
      <c r="I55" s="2"/>
      <c r="J55" s="2"/>
      <c r="K55" s="2"/>
      <c r="L55" s="2"/>
      <c r="M55" s="2"/>
      <c r="N55" s="2"/>
      <c r="O55" s="2"/>
      <c r="P55" s="2"/>
      <c r="Q55" s="2"/>
      <c r="R55" s="2"/>
      <c r="S55" s="2"/>
      <c r="T55" s="2"/>
      <c r="U55" s="2"/>
    </row>
    <row r="56" spans="1:21">
      <c r="A56" s="74" t="s">
        <v>37</v>
      </c>
      <c r="B56" s="412">
        <f>B55</f>
        <v>-141250</v>
      </c>
      <c r="C56" s="412">
        <f t="shared" ref="C56:E56" si="0">C55</f>
        <v>-55250</v>
      </c>
      <c r="D56" s="412">
        <f t="shared" si="0"/>
        <v>-85250</v>
      </c>
      <c r="E56" s="412">
        <f t="shared" si="0"/>
        <v>-55250</v>
      </c>
      <c r="F56" s="445">
        <f>F55</f>
        <v>-337000</v>
      </c>
      <c r="H56" s="2"/>
      <c r="I56" s="2"/>
      <c r="J56" s="2"/>
      <c r="K56" s="2"/>
      <c r="L56" s="2"/>
      <c r="M56" s="2"/>
      <c r="N56" s="2"/>
      <c r="O56" s="2"/>
      <c r="P56" s="2"/>
      <c r="Q56" s="2"/>
      <c r="R56" s="2"/>
      <c r="S56" s="2"/>
      <c r="T56" s="2"/>
      <c r="U56" s="2"/>
    </row>
    <row r="57" spans="1:21">
      <c r="A57" s="3"/>
      <c r="B57" s="382"/>
      <c r="C57" s="383"/>
      <c r="D57" s="383"/>
      <c r="E57" s="384"/>
      <c r="F57" s="447"/>
      <c r="H57" s="2"/>
      <c r="I57" s="2"/>
      <c r="J57" s="2"/>
      <c r="K57" s="2"/>
      <c r="L57" s="2"/>
      <c r="M57" s="2"/>
      <c r="N57" s="2"/>
      <c r="O57" s="2"/>
      <c r="P57" s="2"/>
      <c r="Q57" s="2"/>
      <c r="R57" s="2"/>
      <c r="S57" s="2"/>
      <c r="T57" s="2"/>
      <c r="U57" s="2"/>
    </row>
    <row r="58" spans="1:21" ht="16.5" thickBot="1">
      <c r="A58" s="87" t="s">
        <v>38</v>
      </c>
      <c r="B58" s="416">
        <f>B51+B56</f>
        <v>-1359798.0848500002</v>
      </c>
      <c r="C58" s="416">
        <f>C51+C56</f>
        <v>-619259.56670181896</v>
      </c>
      <c r="D58" s="416">
        <f>D51+D56</f>
        <v>-81671.042232837412</v>
      </c>
      <c r="E58" s="417">
        <f>E51+E56</f>
        <v>1856247.7379541039</v>
      </c>
      <c r="F58" s="448">
        <f>SUM(Table9[[#This Row],[Q1 2023]:[Q4 2023]])</f>
        <v>-204480.95583055262</v>
      </c>
      <c r="H58" s="2"/>
      <c r="I58" s="2"/>
      <c r="J58" s="2"/>
      <c r="K58" s="2"/>
      <c r="L58" s="2"/>
      <c r="M58" s="2"/>
      <c r="N58" s="2"/>
      <c r="O58" s="2"/>
      <c r="P58" s="2"/>
      <c r="Q58" s="2"/>
      <c r="R58" s="2"/>
      <c r="S58" s="2"/>
      <c r="T58" s="2"/>
      <c r="U58" s="2"/>
    </row>
    <row r="59" spans="1:21" ht="16.5" thickTop="1"/>
    <row r="60" spans="1:21">
      <c r="H60" s="99"/>
      <c r="I60" s="100"/>
    </row>
    <row r="61" spans="1:21">
      <c r="A61" t="s">
        <v>39</v>
      </c>
      <c r="B61" s="349">
        <f>B14</f>
        <v>12000000</v>
      </c>
      <c r="C61" s="88">
        <f>B63</f>
        <v>10640201.91515</v>
      </c>
      <c r="D61" s="88">
        <f>C63</f>
        <v>10020942.348448182</v>
      </c>
      <c r="E61" s="88">
        <f>D63</f>
        <v>9939271.306215344</v>
      </c>
      <c r="H61" s="99"/>
      <c r="I61" s="99"/>
    </row>
    <row r="62" spans="1:21">
      <c r="A62" t="s">
        <v>40</v>
      </c>
      <c r="B62" s="88">
        <f>B58</f>
        <v>-1359798.0848500002</v>
      </c>
      <c r="C62" s="88">
        <f>C58</f>
        <v>-619259.56670181896</v>
      </c>
      <c r="D62" s="88">
        <f>D58</f>
        <v>-81671.042232837412</v>
      </c>
      <c r="E62" s="88">
        <f>E58</f>
        <v>1856247.7379541039</v>
      </c>
      <c r="F62" s="449">
        <f>SUM(B62:E62)</f>
        <v>-204480.95583055262</v>
      </c>
    </row>
    <row r="63" spans="1:21" ht="16.5" thickBot="1">
      <c r="A63" s="91" t="s">
        <v>41</v>
      </c>
      <c r="B63" s="92">
        <f>SUM(B61:B62)</f>
        <v>10640201.91515</v>
      </c>
      <c r="C63" s="92">
        <f>SUM(C61:C62)</f>
        <v>10020942.348448182</v>
      </c>
      <c r="D63" s="92">
        <f>SUM(D61:D62)</f>
        <v>9939271.306215344</v>
      </c>
      <c r="E63" s="92">
        <f>SUM(E61:E62)</f>
        <v>11795519.044169448</v>
      </c>
      <c r="F63" s="450">
        <f>E63</f>
        <v>11795519.044169448</v>
      </c>
      <c r="H63" s="100"/>
      <c r="I63" s="100"/>
    </row>
    <row r="64" spans="1:21" ht="16.5" thickTop="1"/>
    <row r="65" spans="1:6" ht="16.5" thickBot="1">
      <c r="A65" s="91" t="s">
        <v>42</v>
      </c>
      <c r="B65" s="388">
        <v>22</v>
      </c>
      <c r="C65" s="388">
        <v>22</v>
      </c>
      <c r="D65" s="388">
        <v>22</v>
      </c>
      <c r="E65" s="388">
        <v>22</v>
      </c>
      <c r="F65" s="451">
        <v>22</v>
      </c>
    </row>
    <row r="66" spans="1:6" ht="16.5" thickTop="1"/>
    <row r="68" spans="1:6">
      <c r="A68" s="97" t="s">
        <v>43</v>
      </c>
    </row>
    <row r="69" spans="1:6">
      <c r="A69" s="96" t="s">
        <v>21</v>
      </c>
      <c r="B69" s="98">
        <f t="shared" ref="B69:E72" si="1">(B25+B35)/B25</f>
        <v>9.1260242571462785E-2</v>
      </c>
      <c r="C69" s="98">
        <f t="shared" si="1"/>
        <v>0.5056422569027611</v>
      </c>
      <c r="D69" s="98">
        <f t="shared" si="1"/>
        <v>0.5056422569027611</v>
      </c>
      <c r="E69" s="98">
        <f t="shared" si="1"/>
        <v>0.50564225690276099</v>
      </c>
    </row>
    <row r="70" spans="1:6">
      <c r="A70" s="96" t="s">
        <v>3</v>
      </c>
      <c r="B70" s="98" t="e">
        <f t="shared" si="1"/>
        <v>#DIV/0!</v>
      </c>
      <c r="C70" s="98" t="e">
        <f t="shared" si="1"/>
        <v>#DIV/0!</v>
      </c>
      <c r="D70" s="98" t="e">
        <f t="shared" si="1"/>
        <v>#DIV/0!</v>
      </c>
      <c r="E70" s="98" t="e">
        <f t="shared" si="1"/>
        <v>#DIV/0!</v>
      </c>
    </row>
    <row r="71" spans="1:6">
      <c r="A71" s="96" t="s">
        <v>22</v>
      </c>
      <c r="B71" s="98">
        <f t="shared" si="1"/>
        <v>1</v>
      </c>
      <c r="C71" s="98">
        <f t="shared" si="1"/>
        <v>1</v>
      </c>
      <c r="D71" s="98">
        <f t="shared" si="1"/>
        <v>1</v>
      </c>
      <c r="E71" s="98">
        <f t="shared" si="1"/>
        <v>1</v>
      </c>
    </row>
    <row r="72" spans="1:6">
      <c r="A72" s="96" t="s">
        <v>44</v>
      </c>
      <c r="B72" s="98">
        <f t="shared" si="1"/>
        <v>0.9572208371316544</v>
      </c>
      <c r="C72" s="98">
        <f t="shared" si="1"/>
        <v>0.95692642799469441</v>
      </c>
      <c r="D72" s="98">
        <f t="shared" si="1"/>
        <v>0.95692636290282596</v>
      </c>
      <c r="E72" s="98">
        <f t="shared" si="1"/>
        <v>0.95692585124851182</v>
      </c>
    </row>
    <row r="73" spans="1:6">
      <c r="A73" s="96" t="s">
        <v>45</v>
      </c>
      <c r="B73" s="98" t="e">
        <f>(#REF!+#REF!)/#REF!</f>
        <v>#REF!</v>
      </c>
      <c r="C73" s="98" t="e">
        <f>(#REF!+#REF!)/#REF!</f>
        <v>#REF!</v>
      </c>
      <c r="D73" s="98" t="e">
        <f>(#REF!+#REF!)/#REF!</f>
        <v>#REF!</v>
      </c>
      <c r="E73" s="98" t="e">
        <f>(#REF!+#REF!)/#REF!</f>
        <v>#REF!</v>
      </c>
    </row>
    <row r="74" spans="1:6">
      <c r="A74" s="96" t="s">
        <v>23</v>
      </c>
      <c r="B74" s="98"/>
      <c r="C74" s="98"/>
      <c r="D74" s="98"/>
      <c r="E74" s="98"/>
    </row>
    <row r="75" spans="1:6">
      <c r="A75" s="96" t="s">
        <v>9</v>
      </c>
      <c r="B75" s="98">
        <f t="shared" ref="B75:E76" si="2">(B30+B40)/B30</f>
        <v>0.24863149127007045</v>
      </c>
      <c r="C75" s="98">
        <f t="shared" si="2"/>
        <v>0.36092948833143834</v>
      </c>
      <c r="D75" s="98">
        <f t="shared" si="2"/>
        <v>0.32607504170391621</v>
      </c>
      <c r="E75" s="98">
        <f t="shared" si="2"/>
        <v>0.33703729738121796</v>
      </c>
    </row>
    <row r="76" spans="1:6">
      <c r="A76" s="96" t="s">
        <v>24</v>
      </c>
      <c r="B76" s="98" t="e">
        <f t="shared" si="2"/>
        <v>#DIV/0!</v>
      </c>
      <c r="C76" s="98" t="e">
        <f t="shared" si="2"/>
        <v>#DIV/0!</v>
      </c>
      <c r="D76" s="98" t="e">
        <f t="shared" si="2"/>
        <v>#DIV/0!</v>
      </c>
      <c r="E76" s="98" t="e">
        <f t="shared" si="2"/>
        <v>#DIV/0!</v>
      </c>
    </row>
  </sheetData>
  <sheetProtection formatCells="0" formatColumns="0" formatRows="0" insertColumns="0" insertRows="0" insertHyperlinks="0" deleteColumns="0" deleteRows="0" sort="0" autoFilter="0" pivotTables="0"/>
  <phoneticPr fontId="20" type="noConversion"/>
  <pageMargins left="0.7" right="0.7" top="0.75" bottom="0.75" header="0.3" footer="0.3"/>
  <pageSetup paperSize="9" orientation="portrait" r:id="rId1"/>
  <drawing r:id="rId2"/>
  <legacy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41786-3023-D24F-94D4-D1672107DE5D}">
  <dimension ref="A2:U39"/>
  <sheetViews>
    <sheetView showGridLines="0" workbookViewId="0">
      <selection activeCell="F24" sqref="F24"/>
    </sheetView>
  </sheetViews>
  <sheetFormatPr defaultColWidth="11.375" defaultRowHeight="15.75"/>
  <cols>
    <col min="1" max="1" width="29.25" customWidth="1"/>
    <col min="2" max="3" width="10.75" customWidth="1"/>
    <col min="4" max="4" width="13.125" customWidth="1"/>
    <col min="5" max="5" width="10.75" customWidth="1"/>
    <col min="7" max="7" width="12.75" bestFit="1" customWidth="1"/>
  </cols>
  <sheetData>
    <row r="2" spans="1:7">
      <c r="A2" s="41" t="s">
        <v>46</v>
      </c>
      <c r="B2" s="41" t="s">
        <v>47</v>
      </c>
      <c r="C2" s="360" t="s">
        <v>47</v>
      </c>
      <c r="D2" s="6"/>
      <c r="F2" s="6"/>
      <c r="G2" s="6"/>
    </row>
    <row r="3" spans="1:7">
      <c r="A3" s="75" t="s">
        <v>48</v>
      </c>
      <c r="B3" s="75"/>
      <c r="C3" s="6"/>
      <c r="D3" s="6"/>
      <c r="F3" s="6"/>
      <c r="G3" s="6"/>
    </row>
    <row r="4" spans="1:7">
      <c r="A4" s="47"/>
      <c r="B4" s="47"/>
    </row>
    <row r="5" spans="1:7">
      <c r="A5" s="75" t="s">
        <v>49</v>
      </c>
      <c r="B5" s="47"/>
    </row>
    <row r="6" spans="1:7">
      <c r="A6" s="342" t="s">
        <v>21</v>
      </c>
      <c r="B6" s="348">
        <f>'Fee Structure'!B2</f>
        <v>24.99</v>
      </c>
      <c r="C6" s="357">
        <f t="shared" ref="C6:C13" si="0">B6-B17</f>
        <v>7.639999999999997</v>
      </c>
      <c r="D6" s="357"/>
      <c r="F6" s="357"/>
      <c r="G6" s="357"/>
    </row>
    <row r="7" spans="1:7">
      <c r="A7" s="342" t="s">
        <v>3</v>
      </c>
      <c r="B7" s="348">
        <f>'Revenues'!D20*20</f>
        <v>0</v>
      </c>
      <c r="C7" s="357">
        <f t="shared" si="0"/>
        <v>0</v>
      </c>
      <c r="D7" s="357"/>
      <c r="F7" s="357"/>
      <c r="G7" s="357"/>
    </row>
    <row r="8" spans="1:7">
      <c r="A8" s="342" t="s">
        <v>22</v>
      </c>
      <c r="B8" s="348">
        <f>'Revenues'!D28*20</f>
        <v>35.000000000000007</v>
      </c>
      <c r="C8" s="357">
        <f t="shared" si="0"/>
        <v>35.000000000000007</v>
      </c>
      <c r="D8" s="357"/>
      <c r="F8" s="357"/>
      <c r="G8" s="357"/>
    </row>
    <row r="9" spans="1:7">
      <c r="A9" s="342" t="s">
        <v>44</v>
      </c>
      <c r="B9" s="348">
        <f>'Revenues'!D38*20</f>
        <v>57.599999999999994</v>
      </c>
      <c r="C9" s="357">
        <f t="shared" si="0"/>
        <v>55.199999999999996</v>
      </c>
      <c r="D9" s="357"/>
      <c r="F9" s="357"/>
      <c r="G9" s="357"/>
    </row>
    <row r="10" spans="1:7">
      <c r="A10" s="342" t="s">
        <v>45</v>
      </c>
      <c r="B10" s="348">
        <f>'Revenues'!D46*20</f>
        <v>0</v>
      </c>
      <c r="C10" s="357">
        <f t="shared" si="0"/>
        <v>0</v>
      </c>
      <c r="D10" s="357"/>
      <c r="F10" s="357"/>
      <c r="G10" s="357"/>
    </row>
    <row r="11" spans="1:7">
      <c r="A11" s="342" t="s">
        <v>23</v>
      </c>
      <c r="B11" s="348">
        <f>'Revenues'!D54*20</f>
        <v>0</v>
      </c>
      <c r="C11" s="357">
        <f t="shared" si="0"/>
        <v>0</v>
      </c>
      <c r="D11" s="357"/>
      <c r="F11" s="357"/>
      <c r="G11" s="357"/>
    </row>
    <row r="12" spans="1:7">
      <c r="A12" s="342" t="s">
        <v>9</v>
      </c>
      <c r="B12" s="364">
        <f>'Revenues'!D61*'Revenues'!D58</f>
        <v>0.49950000000000006</v>
      </c>
      <c r="C12" s="357">
        <f t="shared" si="0"/>
        <v>-0.38050000000000006</v>
      </c>
      <c r="D12" s="357"/>
      <c r="F12" s="357"/>
      <c r="G12" s="357"/>
    </row>
    <row r="13" spans="1:7">
      <c r="A13" s="342" t="s">
        <v>24</v>
      </c>
      <c r="B13" s="348">
        <f>SUM(B37:U37)</f>
        <v>105</v>
      </c>
      <c r="C13" s="357">
        <f t="shared" si="0"/>
        <v>91.875</v>
      </c>
      <c r="D13" s="357"/>
      <c r="F13" s="357"/>
      <c r="G13" s="357"/>
    </row>
    <row r="14" spans="1:7" ht="16.5" thickBot="1">
      <c r="A14" s="343" t="s">
        <v>50</v>
      </c>
      <c r="B14" s="344">
        <f t="shared" ref="B14" si="1">SUM(B6:B13)</f>
        <v>223.08949999999999</v>
      </c>
      <c r="C14" s="361">
        <f>SUM(C6:C13)</f>
        <v>189.33449999999999</v>
      </c>
      <c r="D14" s="358"/>
      <c r="F14" s="358"/>
      <c r="G14" s="358"/>
    </row>
    <row r="15" spans="1:7">
      <c r="A15" s="47"/>
      <c r="B15" s="47"/>
    </row>
    <row r="16" spans="1:7">
      <c r="A16" s="345" t="s">
        <v>51</v>
      </c>
      <c r="B16" s="47"/>
    </row>
    <row r="17" spans="1:7">
      <c r="A17" s="342" t="s">
        <v>21</v>
      </c>
      <c r="B17" s="348">
        <f>17.35</f>
        <v>17.350000000000001</v>
      </c>
      <c r="C17" s="357">
        <f>17.35</f>
        <v>17.350000000000001</v>
      </c>
      <c r="D17" s="357"/>
      <c r="F17" s="357"/>
      <c r="G17" s="357"/>
    </row>
    <row r="18" spans="1:7">
      <c r="A18" s="342" t="s">
        <v>3</v>
      </c>
      <c r="B18" s="348">
        <f>'Direct Costs'!D22*20</f>
        <v>0</v>
      </c>
      <c r="C18" s="357">
        <f>'[1]Direct Costs'!G21*20</f>
        <v>54.012</v>
      </c>
      <c r="D18" s="357"/>
      <c r="F18" s="357"/>
      <c r="G18" s="357"/>
    </row>
    <row r="19" spans="1:7">
      <c r="A19" s="342" t="s">
        <v>22</v>
      </c>
      <c r="B19" s="348">
        <f>'Direct Costs'!D30*20</f>
        <v>0</v>
      </c>
      <c r="C19" s="357">
        <f>'[1]Direct Costs'!G29*20</f>
        <v>0</v>
      </c>
      <c r="D19" s="357"/>
      <c r="F19" s="357"/>
      <c r="G19" s="357"/>
    </row>
    <row r="20" spans="1:7">
      <c r="A20" s="342" t="s">
        <v>44</v>
      </c>
      <c r="B20" s="348">
        <f>'Direct Costs'!D38*20</f>
        <v>2.4</v>
      </c>
      <c r="C20" s="357">
        <f>'[1]Direct Costs'!G37*20</f>
        <v>2</v>
      </c>
      <c r="D20" s="357"/>
      <c r="F20" s="357"/>
      <c r="G20" s="357"/>
    </row>
    <row r="21" spans="1:7">
      <c r="A21" s="342" t="s">
        <v>45</v>
      </c>
      <c r="B21" s="348">
        <f>'Direct Costs'!D46*20</f>
        <v>0</v>
      </c>
      <c r="C21" s="357">
        <f>'[1]Direct Costs'!G45*20</f>
        <v>8.0000000000000002E-3</v>
      </c>
      <c r="D21" s="357"/>
      <c r="F21" s="357"/>
      <c r="G21" s="357"/>
    </row>
    <row r="22" spans="1:7">
      <c r="A22" s="342" t="s">
        <v>23</v>
      </c>
      <c r="B22" s="348">
        <f>'Direct Costs'!D54*20</f>
        <v>0</v>
      </c>
      <c r="C22" s="357">
        <f>'[1]Direct Costs'!G53*20</f>
        <v>0</v>
      </c>
      <c r="D22" s="357"/>
      <c r="F22" s="357"/>
      <c r="G22" s="357"/>
    </row>
    <row r="23" spans="1:7">
      <c r="A23" s="342" t="s">
        <v>9</v>
      </c>
      <c r="B23" s="364">
        <f>(10+(0.38*20))*5%</f>
        <v>0.88000000000000012</v>
      </c>
      <c r="C23" s="362">
        <f>(10+(0.38*20))*5%</f>
        <v>0.88000000000000012</v>
      </c>
      <c r="D23" s="357"/>
      <c r="F23" s="357"/>
      <c r="G23" s="357"/>
    </row>
    <row r="24" spans="1:7">
      <c r="A24" s="342" t="s">
        <v>24</v>
      </c>
      <c r="B24" s="348">
        <f>SUM(B39:U39)</f>
        <v>13.125</v>
      </c>
      <c r="C24" s="357">
        <f>SUM(E39:X39)</f>
        <v>9.5625</v>
      </c>
      <c r="D24" s="357"/>
      <c r="F24" s="357"/>
      <c r="G24" s="357"/>
    </row>
    <row r="25" spans="1:7">
      <c r="A25" s="342" t="s">
        <v>52</v>
      </c>
      <c r="B25" s="348"/>
      <c r="C25" s="357"/>
      <c r="D25" s="357"/>
      <c r="F25" s="357"/>
      <c r="G25" s="357"/>
    </row>
    <row r="26" spans="1:7" ht="16.5" thickBot="1">
      <c r="A26" s="343" t="s">
        <v>53</v>
      </c>
      <c r="B26" s="344">
        <f>SUM(B17:B24)</f>
        <v>33.754999999999995</v>
      </c>
      <c r="C26" s="361">
        <f>SUM(C25)</f>
        <v>0</v>
      </c>
      <c r="D26" s="358"/>
      <c r="F26" s="358"/>
      <c r="G26" s="358"/>
    </row>
    <row r="27" spans="1:7">
      <c r="A27" s="47"/>
      <c r="B27" s="47"/>
    </row>
    <row r="28" spans="1:7" ht="16.5" thickBot="1">
      <c r="A28" s="346" t="s">
        <v>54</v>
      </c>
      <c r="B28" s="347">
        <f>B14/B26</f>
        <v>6.6090801362761074</v>
      </c>
      <c r="C28" s="363">
        <f>C14</f>
        <v>189.33449999999999</v>
      </c>
      <c r="D28" s="359"/>
      <c r="F28" s="359"/>
      <c r="G28" s="359"/>
    </row>
    <row r="29" spans="1:7" ht="16.5" thickTop="1"/>
    <row r="33" spans="1:21" hidden="1">
      <c r="A33" t="s">
        <v>55</v>
      </c>
      <c r="B33">
        <v>600</v>
      </c>
      <c r="C33">
        <v>600</v>
      </c>
      <c r="D33">
        <v>600</v>
      </c>
      <c r="E33">
        <v>600</v>
      </c>
      <c r="F33">
        <v>600</v>
      </c>
      <c r="G33">
        <v>600</v>
      </c>
      <c r="H33">
        <v>600</v>
      </c>
      <c r="I33">
        <v>600</v>
      </c>
      <c r="J33">
        <v>600</v>
      </c>
      <c r="K33">
        <v>600</v>
      </c>
      <c r="L33">
        <v>600</v>
      </c>
      <c r="M33">
        <v>600</v>
      </c>
      <c r="N33">
        <v>600</v>
      </c>
      <c r="O33">
        <v>600</v>
      </c>
      <c r="P33">
        <v>600</v>
      </c>
      <c r="Q33">
        <v>600</v>
      </c>
      <c r="R33">
        <v>600</v>
      </c>
      <c r="S33">
        <v>600</v>
      </c>
      <c r="T33">
        <v>600</v>
      </c>
      <c r="U33">
        <v>600</v>
      </c>
    </row>
    <row r="34" spans="1:21" hidden="1">
      <c r="A34" t="s">
        <v>56</v>
      </c>
      <c r="B34">
        <f>B33/2</f>
        <v>300</v>
      </c>
      <c r="C34">
        <f t="shared" ref="C34:U34" si="2">C33/2</f>
        <v>300</v>
      </c>
      <c r="D34">
        <f t="shared" si="2"/>
        <v>300</v>
      </c>
      <c r="E34">
        <f t="shared" si="2"/>
        <v>300</v>
      </c>
      <c r="F34">
        <f t="shared" si="2"/>
        <v>300</v>
      </c>
      <c r="G34">
        <f t="shared" si="2"/>
        <v>300</v>
      </c>
      <c r="H34">
        <f t="shared" si="2"/>
        <v>300</v>
      </c>
      <c r="I34">
        <f t="shared" si="2"/>
        <v>300</v>
      </c>
      <c r="J34">
        <f t="shared" si="2"/>
        <v>300</v>
      </c>
      <c r="K34">
        <f t="shared" si="2"/>
        <v>300</v>
      </c>
      <c r="L34">
        <f t="shared" si="2"/>
        <v>300</v>
      </c>
      <c r="M34">
        <f t="shared" si="2"/>
        <v>300</v>
      </c>
      <c r="N34">
        <f t="shared" si="2"/>
        <v>300</v>
      </c>
      <c r="O34">
        <f t="shared" si="2"/>
        <v>300</v>
      </c>
      <c r="P34">
        <f t="shared" si="2"/>
        <v>300</v>
      </c>
      <c r="Q34">
        <f t="shared" si="2"/>
        <v>300</v>
      </c>
      <c r="R34">
        <f t="shared" si="2"/>
        <v>300</v>
      </c>
      <c r="S34">
        <f t="shared" si="2"/>
        <v>300</v>
      </c>
      <c r="T34">
        <f t="shared" si="2"/>
        <v>300</v>
      </c>
      <c r="U34">
        <f t="shared" si="2"/>
        <v>300</v>
      </c>
    </row>
    <row r="35" spans="1:21" hidden="1">
      <c r="A35" s="3" t="s">
        <v>57</v>
      </c>
      <c r="B35" s="78">
        <v>20</v>
      </c>
      <c r="C35" s="78">
        <v>19</v>
      </c>
      <c r="D35" s="78">
        <v>18</v>
      </c>
      <c r="E35" s="78">
        <v>17</v>
      </c>
      <c r="F35" s="78">
        <v>16</v>
      </c>
      <c r="G35" s="78">
        <v>15</v>
      </c>
      <c r="H35" s="78">
        <v>14</v>
      </c>
      <c r="I35" s="78">
        <v>13</v>
      </c>
      <c r="J35" s="78">
        <v>12</v>
      </c>
      <c r="K35" s="78">
        <v>11</v>
      </c>
      <c r="L35" s="78">
        <v>10</v>
      </c>
      <c r="M35" s="78">
        <v>9</v>
      </c>
      <c r="N35" s="78">
        <v>8</v>
      </c>
      <c r="O35" s="78">
        <v>7</v>
      </c>
      <c r="P35" s="78">
        <v>6</v>
      </c>
      <c r="Q35" s="78">
        <v>5</v>
      </c>
      <c r="R35" s="78">
        <v>4</v>
      </c>
      <c r="S35" s="78">
        <v>3</v>
      </c>
      <c r="T35" s="78">
        <v>2</v>
      </c>
      <c r="U35" s="78">
        <v>1</v>
      </c>
    </row>
    <row r="36" spans="1:21" hidden="1">
      <c r="A36" s="3" t="s">
        <v>58</v>
      </c>
      <c r="B36" s="340">
        <f>2%*(B35/12)</f>
        <v>3.3333333333333333E-2</v>
      </c>
      <c r="C36" s="340">
        <f t="shared" ref="C36:U36" si="3">2%*(C35/12)</f>
        <v>3.1666666666666662E-2</v>
      </c>
      <c r="D36" s="340">
        <f t="shared" si="3"/>
        <v>0.03</v>
      </c>
      <c r="E36" s="340">
        <f t="shared" si="3"/>
        <v>2.8333333333333335E-2</v>
      </c>
      <c r="F36" s="340">
        <f t="shared" si="3"/>
        <v>2.6666666666666665E-2</v>
      </c>
      <c r="G36" s="340">
        <f t="shared" si="3"/>
        <v>2.5000000000000001E-2</v>
      </c>
      <c r="H36" s="340">
        <f t="shared" si="3"/>
        <v>2.3333333333333334E-2</v>
      </c>
      <c r="I36" s="340">
        <f t="shared" si="3"/>
        <v>2.1666666666666664E-2</v>
      </c>
      <c r="J36" s="340">
        <f t="shared" si="3"/>
        <v>0.02</v>
      </c>
      <c r="K36" s="340">
        <f t="shared" si="3"/>
        <v>1.8333333333333333E-2</v>
      </c>
      <c r="L36" s="340">
        <f t="shared" si="3"/>
        <v>1.6666666666666666E-2</v>
      </c>
      <c r="M36" s="340">
        <f t="shared" si="3"/>
        <v>1.4999999999999999E-2</v>
      </c>
      <c r="N36" s="340">
        <f t="shared" si="3"/>
        <v>1.3333333333333332E-2</v>
      </c>
      <c r="O36" s="340">
        <f t="shared" si="3"/>
        <v>1.1666666666666667E-2</v>
      </c>
      <c r="P36" s="340">
        <f t="shared" si="3"/>
        <v>0.01</v>
      </c>
      <c r="Q36" s="340">
        <f t="shared" si="3"/>
        <v>8.3333333333333332E-3</v>
      </c>
      <c r="R36" s="340">
        <f t="shared" si="3"/>
        <v>6.6666666666666662E-3</v>
      </c>
      <c r="S36" s="340">
        <f t="shared" si="3"/>
        <v>5.0000000000000001E-3</v>
      </c>
      <c r="T36" s="340">
        <f t="shared" si="3"/>
        <v>3.3333333333333331E-3</v>
      </c>
      <c r="U36" s="340">
        <f t="shared" si="3"/>
        <v>1.6666666666666666E-3</v>
      </c>
    </row>
    <row r="37" spans="1:21" hidden="1">
      <c r="B37" s="341">
        <f>B34*B36</f>
        <v>10</v>
      </c>
      <c r="C37" s="341">
        <f t="shared" ref="C37:U37" si="4">C34*C36</f>
        <v>9.4999999999999982</v>
      </c>
      <c r="D37" s="341">
        <f t="shared" si="4"/>
        <v>9</v>
      </c>
      <c r="E37" s="341">
        <f t="shared" si="4"/>
        <v>8.5</v>
      </c>
      <c r="F37" s="341">
        <f t="shared" si="4"/>
        <v>7.9999999999999991</v>
      </c>
      <c r="G37" s="341">
        <f t="shared" si="4"/>
        <v>7.5</v>
      </c>
      <c r="H37" s="341">
        <f t="shared" si="4"/>
        <v>7</v>
      </c>
      <c r="I37" s="341">
        <f t="shared" si="4"/>
        <v>6.4999999999999991</v>
      </c>
      <c r="J37" s="341">
        <f t="shared" si="4"/>
        <v>6</v>
      </c>
      <c r="K37" s="341">
        <f t="shared" si="4"/>
        <v>5.5</v>
      </c>
      <c r="L37" s="341">
        <f t="shared" si="4"/>
        <v>5</v>
      </c>
      <c r="M37" s="341">
        <f t="shared" si="4"/>
        <v>4.5</v>
      </c>
      <c r="N37" s="341">
        <f t="shared" si="4"/>
        <v>3.9999999999999996</v>
      </c>
      <c r="O37" s="341">
        <f t="shared" si="4"/>
        <v>3.5</v>
      </c>
      <c r="P37" s="341">
        <f t="shared" si="4"/>
        <v>3</v>
      </c>
      <c r="Q37" s="341">
        <f t="shared" si="4"/>
        <v>2.5</v>
      </c>
      <c r="R37" s="341">
        <f t="shared" si="4"/>
        <v>1.9999999999999998</v>
      </c>
      <c r="S37" s="341">
        <f t="shared" si="4"/>
        <v>1.5</v>
      </c>
      <c r="T37" s="341">
        <f t="shared" si="4"/>
        <v>0.99999999999999989</v>
      </c>
      <c r="U37" s="341">
        <f t="shared" si="4"/>
        <v>0.49999999999999994</v>
      </c>
    </row>
    <row r="38" spans="1:21" hidden="1">
      <c r="A38" t="s">
        <v>2</v>
      </c>
      <c r="B38" s="340">
        <f>0.5%*(B37/12)</f>
        <v>4.1666666666666666E-3</v>
      </c>
      <c r="C38" s="340">
        <f t="shared" ref="C38:U38" si="5">0.5%*(C37/12)</f>
        <v>3.9583333333333328E-3</v>
      </c>
      <c r="D38" s="340">
        <f t="shared" si="5"/>
        <v>3.7499999999999999E-3</v>
      </c>
      <c r="E38" s="340">
        <f t="shared" si="5"/>
        <v>3.5416666666666669E-3</v>
      </c>
      <c r="F38" s="340">
        <f t="shared" si="5"/>
        <v>3.3333333333333331E-3</v>
      </c>
      <c r="G38" s="340">
        <f t="shared" si="5"/>
        <v>3.1250000000000002E-3</v>
      </c>
      <c r="H38" s="340">
        <f t="shared" si="5"/>
        <v>2.9166666666666668E-3</v>
      </c>
      <c r="I38" s="340">
        <f t="shared" si="5"/>
        <v>2.708333333333333E-3</v>
      </c>
      <c r="J38" s="340">
        <f t="shared" si="5"/>
        <v>2.5000000000000001E-3</v>
      </c>
      <c r="K38" s="340">
        <f t="shared" si="5"/>
        <v>2.2916666666666667E-3</v>
      </c>
      <c r="L38" s="340">
        <f t="shared" si="5"/>
        <v>2.0833333333333333E-3</v>
      </c>
      <c r="M38" s="340">
        <f t="shared" si="5"/>
        <v>1.8749999999999999E-3</v>
      </c>
      <c r="N38" s="340">
        <f t="shared" si="5"/>
        <v>1.6666666666666666E-3</v>
      </c>
      <c r="O38" s="340">
        <f t="shared" si="5"/>
        <v>1.4583333333333334E-3</v>
      </c>
      <c r="P38" s="340">
        <f t="shared" si="5"/>
        <v>1.25E-3</v>
      </c>
      <c r="Q38" s="340">
        <f t="shared" si="5"/>
        <v>1.0416666666666667E-3</v>
      </c>
      <c r="R38" s="340">
        <f t="shared" si="5"/>
        <v>8.3333333333333328E-4</v>
      </c>
      <c r="S38" s="340">
        <f t="shared" si="5"/>
        <v>6.2500000000000001E-4</v>
      </c>
      <c r="T38" s="340">
        <f t="shared" si="5"/>
        <v>4.1666666666666664E-4</v>
      </c>
      <c r="U38" s="340">
        <f t="shared" si="5"/>
        <v>2.0833333333333332E-4</v>
      </c>
    </row>
    <row r="39" spans="1:21" hidden="1">
      <c r="B39">
        <f>B34*B38</f>
        <v>1.25</v>
      </c>
      <c r="C39">
        <f t="shared" ref="C39:U39" si="6">C34*C38</f>
        <v>1.1874999999999998</v>
      </c>
      <c r="D39">
        <f t="shared" si="6"/>
        <v>1.125</v>
      </c>
      <c r="E39">
        <f t="shared" si="6"/>
        <v>1.0625</v>
      </c>
      <c r="F39">
        <f t="shared" si="6"/>
        <v>0.99999999999999989</v>
      </c>
      <c r="G39">
        <f t="shared" si="6"/>
        <v>0.9375</v>
      </c>
      <c r="H39">
        <f t="shared" si="6"/>
        <v>0.875</v>
      </c>
      <c r="I39">
        <f t="shared" si="6"/>
        <v>0.81249999999999989</v>
      </c>
      <c r="J39">
        <f t="shared" si="6"/>
        <v>0.75</v>
      </c>
      <c r="K39">
        <f t="shared" si="6"/>
        <v>0.6875</v>
      </c>
      <c r="L39">
        <f t="shared" si="6"/>
        <v>0.625</v>
      </c>
      <c r="M39">
        <f t="shared" si="6"/>
        <v>0.5625</v>
      </c>
      <c r="N39">
        <f t="shared" si="6"/>
        <v>0.49999999999999994</v>
      </c>
      <c r="O39">
        <f t="shared" si="6"/>
        <v>0.4375</v>
      </c>
      <c r="P39">
        <f t="shared" si="6"/>
        <v>0.375</v>
      </c>
      <c r="Q39">
        <f t="shared" si="6"/>
        <v>0.3125</v>
      </c>
      <c r="R39">
        <f t="shared" si="6"/>
        <v>0.24999999999999997</v>
      </c>
      <c r="S39">
        <f t="shared" si="6"/>
        <v>0.1875</v>
      </c>
      <c r="T39">
        <f t="shared" si="6"/>
        <v>0.12499999999999999</v>
      </c>
      <c r="U39">
        <f t="shared" si="6"/>
        <v>6.2499999999999993E-2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CA230-1C4C-4CD6-B8CF-A0B47703FC0D}">
  <dimension ref="A1:O44"/>
  <sheetViews>
    <sheetView workbookViewId="0">
      <selection activeCell="O18" sqref="O18"/>
    </sheetView>
  </sheetViews>
  <sheetFormatPr defaultColWidth="7.75" defaultRowHeight="12.75"/>
  <cols>
    <col min="1" max="1" width="13.375" style="103" customWidth="1"/>
    <col min="2" max="2" width="11.375" style="103" customWidth="1"/>
    <col min="3" max="3" width="11.125" style="103" customWidth="1"/>
    <col min="4" max="7" width="9.375" style="103" bestFit="1" customWidth="1"/>
    <col min="8" max="8" width="9.375" style="103" customWidth="1"/>
    <col min="9" max="9" width="9.25" style="103" customWidth="1"/>
    <col min="10" max="13" width="8" style="103" hidden="1" customWidth="1"/>
    <col min="14" max="14" width="7.75" style="103"/>
    <col min="15" max="15" width="22.75" style="103" customWidth="1"/>
    <col min="16" max="16384" width="7.75" style="103"/>
  </cols>
  <sheetData>
    <row r="1" spans="1:15" ht="15.75">
      <c r="A1" s="104" t="s">
        <v>59</v>
      </c>
      <c r="B1" s="102"/>
      <c r="C1" s="102"/>
      <c r="D1" s="102"/>
      <c r="E1" s="102"/>
      <c r="F1" s="102"/>
      <c r="G1" s="102"/>
      <c r="H1" s="102"/>
      <c r="I1" s="102"/>
      <c r="J1" s="102"/>
      <c r="K1" s="102"/>
      <c r="L1" s="102"/>
      <c r="M1" s="102"/>
      <c r="O1" s="105" t="s">
        <v>60</v>
      </c>
    </row>
    <row r="2" spans="1:15">
      <c r="A2" s="106"/>
      <c r="B2" s="106"/>
      <c r="C2" s="106"/>
      <c r="D2" s="106"/>
      <c r="E2" s="106"/>
      <c r="F2" s="106"/>
      <c r="G2" s="106"/>
      <c r="H2" s="106"/>
      <c r="I2" s="106"/>
      <c r="J2" s="106"/>
      <c r="K2" s="106"/>
      <c r="L2" s="106"/>
      <c r="M2" s="106"/>
    </row>
    <row r="3" spans="1:15">
      <c r="A3" s="107" t="s">
        <v>61</v>
      </c>
      <c r="B3" s="108"/>
      <c r="C3" s="108"/>
      <c r="D3" s="106"/>
      <c r="E3" s="106"/>
      <c r="F3" s="106"/>
      <c r="G3" s="106"/>
      <c r="H3" s="106"/>
      <c r="I3" s="106"/>
      <c r="J3" s="106"/>
      <c r="K3" s="106"/>
      <c r="L3" s="106"/>
      <c r="M3" s="106"/>
    </row>
    <row r="4" spans="1:15">
      <c r="A4" s="109" t="s">
        <v>62</v>
      </c>
      <c r="B4" s="109"/>
      <c r="C4" s="110">
        <v>5.5555555555555554</v>
      </c>
      <c r="D4" s="111"/>
      <c r="E4" s="106"/>
      <c r="F4" s="106"/>
      <c r="G4" s="106"/>
      <c r="H4" s="106"/>
      <c r="I4" s="106"/>
      <c r="J4" s="106"/>
      <c r="K4" s="106"/>
      <c r="L4" s="106"/>
      <c r="M4" s="106"/>
    </row>
    <row r="5" spans="1:15">
      <c r="A5" s="106" t="s">
        <v>63</v>
      </c>
      <c r="B5" s="106"/>
      <c r="C5" s="112">
        <v>360</v>
      </c>
      <c r="D5" s="111"/>
      <c r="E5" s="106"/>
      <c r="F5" s="106"/>
      <c r="G5" s="106"/>
      <c r="H5" s="106"/>
      <c r="I5" s="106"/>
      <c r="J5" s="106"/>
      <c r="K5" s="106"/>
      <c r="L5" s="106"/>
      <c r="M5" s="106"/>
    </row>
    <row r="6" spans="1:15">
      <c r="A6" s="106" t="s">
        <v>64</v>
      </c>
      <c r="B6" s="106"/>
      <c r="C6" s="113">
        <f>C5*C4</f>
        <v>2000</v>
      </c>
      <c r="D6" s="111"/>
      <c r="E6" s="106"/>
      <c r="F6" s="106"/>
      <c r="G6" s="106"/>
      <c r="H6" s="106"/>
      <c r="I6" s="106"/>
      <c r="J6" s="106"/>
      <c r="K6" s="106"/>
      <c r="L6" s="106"/>
      <c r="M6" s="106"/>
    </row>
    <row r="7" spans="1:15">
      <c r="A7" s="106" t="s">
        <v>65</v>
      </c>
      <c r="B7" s="106"/>
      <c r="C7" s="114">
        <v>3</v>
      </c>
      <c r="D7" s="115">
        <f>C4*C5</f>
        <v>2000</v>
      </c>
      <c r="E7" s="106"/>
      <c r="F7" s="106"/>
      <c r="G7" s="106"/>
      <c r="H7" s="106"/>
      <c r="I7" s="106"/>
      <c r="J7" s="106"/>
      <c r="K7" s="106"/>
      <c r="L7" s="106"/>
      <c r="M7" s="106"/>
    </row>
    <row r="8" spans="1:15">
      <c r="A8" s="106" t="s">
        <v>66</v>
      </c>
      <c r="B8" s="106"/>
      <c r="C8" s="112">
        <v>2867</v>
      </c>
      <c r="D8" s="111"/>
      <c r="E8" s="106"/>
      <c r="F8" s="106"/>
      <c r="G8" s="106"/>
      <c r="H8" s="106"/>
      <c r="I8" s="106"/>
      <c r="J8" s="106"/>
      <c r="K8" s="106"/>
      <c r="L8" s="106"/>
      <c r="M8" s="106"/>
    </row>
    <row r="9" spans="1:15">
      <c r="A9" s="109" t="s">
        <v>67</v>
      </c>
      <c r="B9" s="109"/>
      <c r="C9" s="113">
        <f>+C7*C8</f>
        <v>8601</v>
      </c>
      <c r="D9" s="111"/>
      <c r="E9" s="106"/>
      <c r="F9" s="106"/>
      <c r="G9" s="106"/>
      <c r="H9" s="106"/>
      <c r="I9" s="106"/>
      <c r="J9" s="106"/>
      <c r="K9" s="106"/>
      <c r="L9" s="106"/>
      <c r="M9" s="106"/>
    </row>
    <row r="10" spans="1:15">
      <c r="A10" s="106" t="s">
        <v>68</v>
      </c>
      <c r="B10" s="106"/>
      <c r="C10" s="116">
        <v>0</v>
      </c>
      <c r="D10" s="111"/>
      <c r="E10" s="106"/>
      <c r="F10" s="106"/>
      <c r="G10" s="106"/>
      <c r="H10" s="106"/>
      <c r="I10" s="106"/>
      <c r="J10" s="106"/>
      <c r="K10" s="106"/>
      <c r="L10" s="106"/>
      <c r="M10" s="106"/>
    </row>
    <row r="11" spans="1:15">
      <c r="A11" s="109" t="s">
        <v>69</v>
      </c>
      <c r="B11" s="109"/>
      <c r="C11" s="113">
        <f>+C9-C10</f>
        <v>8601</v>
      </c>
      <c r="D11" s="111"/>
      <c r="E11" s="106"/>
      <c r="F11" s="106"/>
      <c r="G11" s="106"/>
      <c r="H11" s="106"/>
      <c r="I11" s="106"/>
      <c r="J11" s="106"/>
      <c r="K11" s="106"/>
      <c r="L11" s="106"/>
      <c r="M11" s="106"/>
    </row>
    <row r="12" spans="1:15">
      <c r="A12" s="106"/>
      <c r="B12" s="106"/>
      <c r="C12" s="106"/>
      <c r="D12" s="106"/>
      <c r="E12" s="106"/>
      <c r="F12" s="106"/>
      <c r="G12" s="106"/>
      <c r="H12" s="106"/>
      <c r="I12" s="106"/>
      <c r="J12" s="106"/>
      <c r="K12" s="106"/>
      <c r="L12" s="106"/>
      <c r="M12" s="106"/>
    </row>
    <row r="13" spans="1:15">
      <c r="A13" s="106"/>
      <c r="B13" s="106"/>
      <c r="C13" s="117">
        <v>44561</v>
      </c>
      <c r="D13" s="117">
        <f>+C13+366</f>
        <v>44927</v>
      </c>
      <c r="E13" s="117">
        <f>+D13+365</f>
        <v>45292</v>
      </c>
      <c r="F13" s="117">
        <f>+E13+365</f>
        <v>45657</v>
      </c>
      <c r="G13" s="117">
        <f>+F13+365</f>
        <v>46022</v>
      </c>
      <c r="H13" s="117">
        <f>+G13+366</f>
        <v>46388</v>
      </c>
      <c r="I13" s="118">
        <f>+H13+1</f>
        <v>46389</v>
      </c>
      <c r="J13" s="118">
        <f>+I13+1</f>
        <v>46390</v>
      </c>
      <c r="K13" s="118">
        <f>+J13+1</f>
        <v>46391</v>
      </c>
      <c r="L13" s="118">
        <f>+K13+1</f>
        <v>46392</v>
      </c>
      <c r="M13" s="118">
        <f>+L13+1</f>
        <v>46393</v>
      </c>
    </row>
    <row r="14" spans="1:15">
      <c r="A14" s="106"/>
      <c r="B14" s="106"/>
      <c r="C14" s="119">
        <f>+'[2]Balance Sheet'!F4</f>
        <v>2021</v>
      </c>
      <c r="D14" s="120">
        <f>+'[2]Balance Sheet'!H4</f>
        <v>2022</v>
      </c>
      <c r="E14" s="121">
        <f>+'[2]Balance Sheet'!I4</f>
        <v>2023</v>
      </c>
      <c r="F14" s="121">
        <f>+'[2]Balance Sheet'!J4</f>
        <v>2024</v>
      </c>
      <c r="G14" s="121">
        <f>+'[2]Balance Sheet'!K4</f>
        <v>2025</v>
      </c>
      <c r="H14" s="121">
        <f>+'[2]Balance Sheet'!L4</f>
        <v>2026</v>
      </c>
      <c r="I14" s="121">
        <v>2027</v>
      </c>
      <c r="J14" s="121" t="e">
        <f>+'[2]Balance Sheet'!#REF!</f>
        <v>#REF!</v>
      </c>
      <c r="K14" s="121" t="e">
        <f>+'[2]Balance Sheet'!#REF!</f>
        <v>#REF!</v>
      </c>
      <c r="L14" s="121" t="e">
        <f>+'[2]Balance Sheet'!#REF!</f>
        <v>#REF!</v>
      </c>
      <c r="M14" s="121" t="e">
        <f>+'[2]Balance Sheet'!#REF!</f>
        <v>#REF!</v>
      </c>
    </row>
    <row r="15" spans="1:15">
      <c r="A15" s="106"/>
      <c r="B15" s="106"/>
      <c r="C15" s="106"/>
      <c r="D15" s="106"/>
      <c r="E15" s="106"/>
      <c r="F15" s="106"/>
      <c r="G15" s="106"/>
      <c r="H15" s="106"/>
      <c r="I15" s="106"/>
      <c r="J15" s="106"/>
      <c r="K15" s="106"/>
      <c r="L15" s="106"/>
      <c r="M15" s="106"/>
    </row>
    <row r="16" spans="1:15">
      <c r="A16" s="122" t="s">
        <v>70</v>
      </c>
      <c r="B16" s="123"/>
      <c r="C16" s="124"/>
      <c r="D16" s="125"/>
      <c r="E16" s="125"/>
      <c r="F16" s="125"/>
      <c r="G16" s="125"/>
      <c r="H16" s="125"/>
      <c r="I16" s="125"/>
      <c r="J16" s="125"/>
      <c r="K16" s="125"/>
      <c r="L16" s="125"/>
      <c r="M16" s="125"/>
    </row>
    <row r="17" spans="1:13">
      <c r="A17" s="106" t="s">
        <v>71</v>
      </c>
      <c r="B17" s="109"/>
      <c r="D17" s="126">
        <f>-D7</f>
        <v>-2000</v>
      </c>
      <c r="E17" s="127"/>
      <c r="F17" s="127"/>
      <c r="G17" s="127"/>
      <c r="H17" s="127"/>
      <c r="I17" s="127"/>
      <c r="J17" s="127"/>
      <c r="K17" s="127"/>
      <c r="L17" s="127"/>
      <c r="M17" s="127"/>
    </row>
    <row r="18" spans="1:13">
      <c r="A18" s="106" t="s">
        <v>72</v>
      </c>
      <c r="B18" s="128"/>
      <c r="C18" s="129"/>
      <c r="D18" s="130"/>
      <c r="E18" s="127"/>
      <c r="F18" s="127"/>
      <c r="G18" s="127"/>
      <c r="H18" s="127">
        <v>0</v>
      </c>
      <c r="I18" s="130">
        <f>C9</f>
        <v>8601</v>
      </c>
      <c r="J18" s="127"/>
      <c r="K18" s="127"/>
      <c r="L18" s="127"/>
      <c r="M18" s="127"/>
    </row>
    <row r="19" spans="1:13">
      <c r="A19" s="109" t="s">
        <v>73</v>
      </c>
      <c r="B19" s="109"/>
      <c r="C19" s="131">
        <v>0</v>
      </c>
      <c r="D19" s="113">
        <f t="shared" ref="D19:I19" si="0">+D16+D17+D18</f>
        <v>-2000</v>
      </c>
      <c r="E19" s="131">
        <f t="shared" si="0"/>
        <v>0</v>
      </c>
      <c r="F19" s="131">
        <f t="shared" si="0"/>
        <v>0</v>
      </c>
      <c r="G19" s="131">
        <f t="shared" si="0"/>
        <v>0</v>
      </c>
      <c r="H19" s="131">
        <f t="shared" si="0"/>
        <v>0</v>
      </c>
      <c r="I19" s="113">
        <f t="shared" si="0"/>
        <v>8601</v>
      </c>
      <c r="J19" s="127"/>
      <c r="K19" s="127"/>
      <c r="L19" s="127"/>
      <c r="M19" s="127"/>
    </row>
    <row r="20" spans="1:13">
      <c r="A20" s="106"/>
      <c r="B20" s="106"/>
      <c r="C20" s="106"/>
      <c r="D20" s="132"/>
      <c r="E20" s="132"/>
      <c r="F20" s="132"/>
      <c r="G20" s="132"/>
      <c r="H20" s="132"/>
      <c r="I20" s="132"/>
      <c r="J20" s="132"/>
      <c r="K20" s="132"/>
      <c r="L20" s="132"/>
      <c r="M20" s="132"/>
    </row>
    <row r="21" spans="1:13">
      <c r="A21" s="133" t="s">
        <v>74</v>
      </c>
      <c r="B21" s="134"/>
      <c r="C21" s="135">
        <f>+XIRR(D19:I19,D13:I13)</f>
        <v>0.43933894038200383</v>
      </c>
    </row>
    <row r="22" spans="1:13">
      <c r="A22" s="133" t="s">
        <v>75</v>
      </c>
      <c r="B22" s="134"/>
      <c r="C22" s="136">
        <f>I19/-D19</f>
        <v>4.3005000000000004</v>
      </c>
    </row>
    <row r="24" spans="1:13">
      <c r="D24" s="103">
        <v>1</v>
      </c>
      <c r="E24" s="103">
        <f>+D24+1</f>
        <v>2</v>
      </c>
      <c r="F24" s="103">
        <f>+E24+1</f>
        <v>3</v>
      </c>
      <c r="G24" s="103">
        <f>+F24+1</f>
        <v>4</v>
      </c>
      <c r="H24" s="103">
        <f>+G24+1</f>
        <v>5</v>
      </c>
    </row>
    <row r="25" spans="1:13">
      <c r="A25" s="106"/>
      <c r="B25" s="106"/>
      <c r="C25" s="119">
        <f t="shared" ref="C25:M25" si="1">C14</f>
        <v>2021</v>
      </c>
      <c r="D25" s="119">
        <f t="shared" si="1"/>
        <v>2022</v>
      </c>
      <c r="E25" s="119">
        <f t="shared" si="1"/>
        <v>2023</v>
      </c>
      <c r="F25" s="119">
        <f t="shared" si="1"/>
        <v>2024</v>
      </c>
      <c r="G25" s="119">
        <f t="shared" si="1"/>
        <v>2025</v>
      </c>
      <c r="H25" s="119">
        <f t="shared" si="1"/>
        <v>2026</v>
      </c>
      <c r="I25" s="119">
        <f t="shared" si="1"/>
        <v>2027</v>
      </c>
      <c r="J25" s="119" t="e">
        <f t="shared" si="1"/>
        <v>#REF!</v>
      </c>
      <c r="K25" s="119" t="e">
        <f t="shared" si="1"/>
        <v>#REF!</v>
      </c>
      <c r="L25" s="119" t="e">
        <f t="shared" si="1"/>
        <v>#REF!</v>
      </c>
      <c r="M25" s="119" t="e">
        <f t="shared" si="1"/>
        <v>#REF!</v>
      </c>
    </row>
    <row r="26" spans="1:13">
      <c r="A26" s="106"/>
      <c r="B26" s="106"/>
      <c r="C26" s="106"/>
      <c r="D26" s="106"/>
      <c r="E26" s="106"/>
      <c r="F26" s="106"/>
      <c r="G26" s="106"/>
      <c r="H26" s="106"/>
      <c r="I26" s="106"/>
      <c r="J26" s="106"/>
      <c r="K26" s="106"/>
      <c r="L26" s="106"/>
      <c r="M26" s="106"/>
    </row>
    <row r="27" spans="1:13">
      <c r="A27" s="109" t="s">
        <v>73</v>
      </c>
      <c r="B27" s="109"/>
      <c r="C27" s="131"/>
      <c r="D27" s="131"/>
      <c r="E27" s="131"/>
      <c r="F27" s="131"/>
      <c r="G27" s="131"/>
      <c r="H27" s="131">
        <f>+H19</f>
        <v>0</v>
      </c>
      <c r="I27" s="127"/>
      <c r="J27" s="127"/>
      <c r="K27" s="127"/>
      <c r="L27" s="127"/>
      <c r="M27" s="127"/>
    </row>
    <row r="28" spans="1:13">
      <c r="A28" s="109"/>
      <c r="B28" s="109"/>
      <c r="C28" s="131"/>
      <c r="D28" s="131"/>
      <c r="E28" s="131"/>
      <c r="F28" s="131"/>
      <c r="G28" s="131"/>
      <c r="H28" s="131"/>
      <c r="I28" s="127"/>
      <c r="J28" s="127"/>
      <c r="K28" s="127"/>
      <c r="L28" s="127"/>
      <c r="M28" s="127"/>
    </row>
    <row r="29" spans="1:13">
      <c r="A29" s="128" t="s">
        <v>76</v>
      </c>
      <c r="B29" s="128"/>
      <c r="C29" s="128"/>
      <c r="D29" s="137">
        <f>1/((1+$C$34)^D24)</f>
        <v>0.69476338890310141</v>
      </c>
      <c r="E29" s="137">
        <f>1/((1+$C$34)^E24)</f>
        <v>0.4826961665601221</v>
      </c>
      <c r="F29" s="137">
        <f>1/((1+$C$34)^F24)</f>
        <v>0.33535962448984635</v>
      </c>
      <c r="G29" s="137">
        <f>1/((1+$C$34)^G24)</f>
        <v>0.23299558921183713</v>
      </c>
      <c r="H29" s="137">
        <f>1/((1+$C$34)^H24)</f>
        <v>0.16187680516029085</v>
      </c>
      <c r="I29" s="137"/>
      <c r="J29" s="137"/>
      <c r="K29" s="137"/>
      <c r="L29" s="137"/>
      <c r="M29" s="137"/>
    </row>
    <row r="30" spans="1:13">
      <c r="A30" s="106"/>
      <c r="B30" s="106"/>
      <c r="C30" s="106"/>
      <c r="D30" s="132"/>
      <c r="E30" s="132"/>
      <c r="F30" s="132"/>
      <c r="G30" s="132"/>
      <c r="H30" s="132"/>
      <c r="I30" s="132"/>
      <c r="J30" s="132"/>
      <c r="K30" s="132"/>
      <c r="L30" s="132"/>
      <c r="M30" s="132"/>
    </row>
    <row r="31" spans="1:13">
      <c r="A31" s="106" t="s">
        <v>77</v>
      </c>
      <c r="B31" s="106"/>
      <c r="C31" s="106"/>
      <c r="D31" s="132">
        <f>+D27*D29</f>
        <v>0</v>
      </c>
      <c r="E31" s="132">
        <f t="shared" ref="E31:M31" si="2">+E27*E29</f>
        <v>0</v>
      </c>
      <c r="F31" s="132">
        <f t="shared" si="2"/>
        <v>0</v>
      </c>
      <c r="G31" s="132">
        <f t="shared" si="2"/>
        <v>0</v>
      </c>
      <c r="H31" s="132">
        <f t="shared" si="2"/>
        <v>0</v>
      </c>
      <c r="I31" s="132">
        <f t="shared" si="2"/>
        <v>0</v>
      </c>
      <c r="J31" s="132">
        <f t="shared" si="2"/>
        <v>0</v>
      </c>
      <c r="K31" s="132">
        <f t="shared" si="2"/>
        <v>0</v>
      </c>
      <c r="L31" s="132">
        <f t="shared" si="2"/>
        <v>0</v>
      </c>
      <c r="M31" s="132">
        <f t="shared" si="2"/>
        <v>0</v>
      </c>
    </row>
    <row r="32" spans="1:13">
      <c r="A32" s="106"/>
      <c r="B32" s="106"/>
      <c r="C32" s="106"/>
      <c r="D32" s="132"/>
      <c r="E32" s="132"/>
      <c r="F32" s="132"/>
      <c r="G32" s="132"/>
      <c r="H32" s="132"/>
      <c r="I32" s="132"/>
      <c r="J32" s="132"/>
      <c r="K32" s="132"/>
      <c r="L32" s="132"/>
      <c r="M32" s="132"/>
    </row>
    <row r="33" spans="1:13">
      <c r="A33" s="106"/>
      <c r="B33" s="106"/>
      <c r="C33" s="106"/>
      <c r="D33" s="132"/>
      <c r="E33" s="132"/>
      <c r="F33" s="132"/>
      <c r="G33" s="132"/>
      <c r="H33" s="132"/>
      <c r="I33" s="132"/>
      <c r="J33" s="132"/>
      <c r="K33" s="132"/>
      <c r="L33" s="132"/>
      <c r="M33" s="132"/>
    </row>
    <row r="34" spans="1:13">
      <c r="A34" s="133" t="s">
        <v>74</v>
      </c>
      <c r="B34" s="134"/>
      <c r="C34" s="138">
        <f>C21</f>
        <v>0.43933894038200383</v>
      </c>
    </row>
    <row r="36" spans="1:13">
      <c r="A36" s="103" t="s">
        <v>78</v>
      </c>
      <c r="C36" s="132">
        <f>+SUM(D31:H31)</f>
        <v>0</v>
      </c>
    </row>
    <row r="37" spans="1:13">
      <c r="A37" s="103" t="s">
        <v>79</v>
      </c>
      <c r="C37" s="139">
        <f>C10</f>
        <v>0</v>
      </c>
    </row>
    <row r="38" spans="1:13">
      <c r="A38" s="140" t="s">
        <v>80</v>
      </c>
      <c r="B38" s="140"/>
      <c r="C38" s="141">
        <f>C36+C37</f>
        <v>0</v>
      </c>
    </row>
    <row r="39" spans="1:13">
      <c r="A39" s="140" t="s">
        <v>81</v>
      </c>
      <c r="B39" s="140"/>
      <c r="C39" s="142">
        <f>+C38/'[2]DCF (5YR)'!G31</f>
        <v>0</v>
      </c>
    </row>
    <row r="42" spans="1:13">
      <c r="C42" s="102" t="s">
        <v>82</v>
      </c>
      <c r="D42" s="102"/>
      <c r="E42" s="102"/>
      <c r="F42" s="102"/>
      <c r="G42" s="102"/>
      <c r="H42" s="102"/>
      <c r="I42" s="102"/>
      <c r="J42" s="102"/>
      <c r="K42" s="102"/>
      <c r="L42" s="102"/>
      <c r="M42" s="102"/>
    </row>
    <row r="43" spans="1:13">
      <c r="C43" s="143">
        <v>0.05</v>
      </c>
      <c r="D43" s="144">
        <f>+C43+0.01</f>
        <v>6.0000000000000005E-2</v>
      </c>
      <c r="E43" s="144">
        <f t="shared" ref="E43:L43" si="3">+D43+0.01</f>
        <v>7.0000000000000007E-2</v>
      </c>
      <c r="F43" s="144">
        <f t="shared" si="3"/>
        <v>0.08</v>
      </c>
      <c r="G43" s="144">
        <f t="shared" si="3"/>
        <v>0.09</v>
      </c>
      <c r="H43" s="145">
        <f t="shared" si="3"/>
        <v>9.9999999999999992E-2</v>
      </c>
      <c r="I43" s="144">
        <f t="shared" si="3"/>
        <v>0.10999999999999999</v>
      </c>
      <c r="J43" s="145">
        <v>0.2157118022441864</v>
      </c>
      <c r="K43" s="144">
        <f t="shared" si="3"/>
        <v>0.22571180224418641</v>
      </c>
      <c r="L43" s="144">
        <f t="shared" si="3"/>
        <v>0.23571180224418642</v>
      </c>
      <c r="M43" s="145">
        <v>0.25</v>
      </c>
    </row>
    <row r="44" spans="1:13">
      <c r="A44" s="146" t="s">
        <v>83</v>
      </c>
      <c r="B44" s="147">
        <f>+C38</f>
        <v>0</v>
      </c>
      <c r="C44" s="148">
        <v>0</v>
      </c>
      <c r="D44" s="149">
        <v>0</v>
      </c>
      <c r="E44" s="149">
        <v>0</v>
      </c>
      <c r="F44" s="149">
        <v>0</v>
      </c>
      <c r="G44" s="149">
        <v>0</v>
      </c>
      <c r="H44" s="148">
        <v>0</v>
      </c>
      <c r="I44" s="149">
        <v>0</v>
      </c>
      <c r="J44" s="148">
        <v>0</v>
      </c>
      <c r="K44" s="149">
        <v>0</v>
      </c>
      <c r="L44" s="149">
        <v>0</v>
      </c>
      <c r="M44" s="148">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5F2D8-A841-450D-BB18-38B1BB3272E8}">
  <dimension ref="A1:AC110"/>
  <sheetViews>
    <sheetView workbookViewId="0">
      <selection activeCell="B24" sqref="B24"/>
    </sheetView>
  </sheetViews>
  <sheetFormatPr defaultColWidth="7.375" defaultRowHeight="12.75"/>
  <cols>
    <col min="1" max="1" width="4.75" style="152" customWidth="1"/>
    <col min="2" max="2" width="40.75" style="152" bestFit="1" customWidth="1"/>
    <col min="3" max="5" width="9.25" style="152" customWidth="1"/>
    <col min="6" max="6" width="14" style="152" customWidth="1"/>
    <col min="7" max="7" width="12" style="152" customWidth="1"/>
    <col min="8" max="8" width="11.125" style="152" customWidth="1"/>
    <col min="9" max="9" width="9.25" style="152" customWidth="1"/>
    <col min="10" max="10" width="7.125" style="152" customWidth="1"/>
    <col min="11" max="11" width="7.375" style="152"/>
    <col min="12" max="12" width="5.75" style="152" bestFit="1" customWidth="1"/>
    <col min="13" max="15" width="7.375" style="152"/>
    <col min="16" max="16" width="15" style="152" customWidth="1"/>
    <col min="17" max="19" width="8.375" style="152" customWidth="1"/>
    <col min="20" max="16384" width="7.375" style="152"/>
  </cols>
  <sheetData>
    <row r="1" spans="1:29" s="151" customFormat="1" ht="21.4" customHeight="1">
      <c r="A1"/>
      <c r="B1" s="153" t="s">
        <v>84</v>
      </c>
      <c r="C1" s="154"/>
      <c r="D1" s="155"/>
      <c r="E1" s="155"/>
      <c r="F1" s="155"/>
      <c r="G1" s="155"/>
      <c r="H1" s="155"/>
      <c r="I1" s="155"/>
      <c r="J1" s="155"/>
      <c r="K1" s="155"/>
      <c r="L1" s="156"/>
      <c r="M1" s="157"/>
      <c r="N1" s="158"/>
      <c r="O1" s="157"/>
      <c r="P1" s="157"/>
      <c r="Q1" s="157"/>
      <c r="R1" s="157"/>
      <c r="S1" s="157"/>
      <c r="T1" s="157"/>
      <c r="U1" s="157"/>
      <c r="V1" s="156"/>
      <c r="W1" s="150"/>
      <c r="AA1"/>
      <c r="AB1"/>
      <c r="AC1"/>
    </row>
    <row r="2" spans="1:29" ht="12.4" customHeight="1">
      <c r="A2" s="152" t="s">
        <v>85</v>
      </c>
    </row>
    <row r="3" spans="1:29" ht="12.4" customHeight="1">
      <c r="E3" s="159"/>
      <c r="F3" s="160" t="s">
        <v>86</v>
      </c>
      <c r="G3" s="161"/>
      <c r="H3" s="161"/>
    </row>
    <row r="4" spans="1:29" ht="12.4" customHeight="1">
      <c r="E4" s="162"/>
      <c r="F4" s="300" t="s">
        <v>87</v>
      </c>
      <c r="G4" s="300" t="s">
        <v>88</v>
      </c>
      <c r="H4" s="300" t="s">
        <v>89</v>
      </c>
    </row>
    <row r="6" spans="1:29" ht="12.4" customHeight="1">
      <c r="B6" s="163" t="s">
        <v>90</v>
      </c>
      <c r="C6" s="163"/>
      <c r="D6" s="163"/>
      <c r="E6" s="163"/>
      <c r="F6" s="163"/>
      <c r="G6" s="163"/>
      <c r="H6" s="163"/>
      <c r="J6" s="164" t="s">
        <v>91</v>
      </c>
      <c r="K6" s="165"/>
      <c r="L6" s="165"/>
      <c r="M6" s="165"/>
      <c r="N6" s="165"/>
      <c r="O6" s="165"/>
      <c r="P6" s="166"/>
    </row>
    <row r="7" spans="1:29" ht="12.4" customHeight="1">
      <c r="B7" s="152" t="s">
        <v>92</v>
      </c>
      <c r="D7" s="295">
        <v>0</v>
      </c>
      <c r="J7" s="167" t="s">
        <v>93</v>
      </c>
      <c r="K7" s="168"/>
      <c r="P7" s="169">
        <f>SUM(F50:H50)</f>
        <v>26525.993115494959</v>
      </c>
    </row>
    <row r="8" spans="1:29" ht="12.4" customHeight="1">
      <c r="B8" s="152" t="s">
        <v>94</v>
      </c>
      <c r="D8" s="296">
        <v>0</v>
      </c>
      <c r="J8" s="167"/>
      <c r="K8" s="168"/>
      <c r="P8" s="170"/>
    </row>
    <row r="9" spans="1:29" ht="12.4" customHeight="1">
      <c r="B9" s="152" t="s">
        <v>95</v>
      </c>
      <c r="D9" s="297">
        <v>0.19</v>
      </c>
      <c r="J9" s="167" t="s">
        <v>96</v>
      </c>
      <c r="K9" s="168"/>
      <c r="P9" s="171">
        <f>D12</f>
        <v>20</v>
      </c>
    </row>
    <row r="10" spans="1:29" ht="12.4" customHeight="1">
      <c r="B10" s="152" t="s">
        <v>97</v>
      </c>
      <c r="D10" s="297">
        <v>0.15</v>
      </c>
      <c r="J10" s="167" t="s">
        <v>98</v>
      </c>
      <c r="K10" s="168"/>
      <c r="P10" s="172" t="e">
        <f>#REF!</f>
        <v>#REF!</v>
      </c>
    </row>
    <row r="11" spans="1:29" ht="12.4" customHeight="1">
      <c r="B11" s="152" t="s">
        <v>99</v>
      </c>
      <c r="D11" s="298">
        <v>20</v>
      </c>
      <c r="J11" s="167"/>
      <c r="K11" s="168"/>
      <c r="P11" s="172"/>
    </row>
    <row r="12" spans="1:29" ht="12.4" customHeight="1">
      <c r="B12" s="152" t="s">
        <v>100</v>
      </c>
      <c r="D12" s="298">
        <v>20</v>
      </c>
      <c r="J12" s="173" t="s">
        <v>101</v>
      </c>
      <c r="K12" s="168"/>
      <c r="P12" s="174" t="e">
        <f>#REF!</f>
        <v>#REF!</v>
      </c>
    </row>
    <row r="13" spans="1:29" ht="12.4" hidden="1" customHeight="1">
      <c r="B13" s="152" t="s">
        <v>102</v>
      </c>
      <c r="D13" s="180">
        <v>0.03</v>
      </c>
      <c r="J13" s="167"/>
      <c r="K13" s="168"/>
      <c r="P13" s="170"/>
    </row>
    <row r="14" spans="1:29" ht="12.4" customHeight="1">
      <c r="B14" s="152" t="s">
        <v>103</v>
      </c>
      <c r="D14" s="180">
        <v>1E-3</v>
      </c>
      <c r="J14" s="176" t="s">
        <v>104</v>
      </c>
      <c r="K14" s="177"/>
      <c r="L14" s="177"/>
      <c r="M14" s="177"/>
      <c r="N14" s="177"/>
      <c r="O14" s="177"/>
      <c r="P14" s="178" t="e">
        <f>#REF!</f>
        <v>#REF!</v>
      </c>
    </row>
    <row r="15" spans="1:29" ht="12.4" customHeight="1">
      <c r="B15" s="152" t="s">
        <v>105</v>
      </c>
      <c r="D15" s="180">
        <v>-1.4999999999999999E-2</v>
      </c>
      <c r="J15" s="167" t="s">
        <v>106</v>
      </c>
      <c r="K15" s="168"/>
      <c r="P15" s="172">
        <f>+F31</f>
        <v>0</v>
      </c>
    </row>
    <row r="16" spans="1:29" ht="12.4" customHeight="1">
      <c r="B16" s="152" t="s">
        <v>107</v>
      </c>
      <c r="D16" s="180">
        <v>0.01</v>
      </c>
      <c r="J16" s="179" t="s">
        <v>108</v>
      </c>
      <c r="K16" s="168"/>
      <c r="P16" s="171" t="e">
        <f>+P14/P15</f>
        <v>#REF!</v>
      </c>
    </row>
    <row r="17" spans="2:17" ht="12.4" customHeight="1">
      <c r="D17" s="180"/>
      <c r="J17" s="179"/>
      <c r="K17" s="168"/>
      <c r="P17" s="171"/>
    </row>
    <row r="18" spans="2:17" ht="12.4" customHeight="1">
      <c r="B18" s="152" t="s">
        <v>109</v>
      </c>
      <c r="D18" s="299">
        <v>1</v>
      </c>
      <c r="J18" s="167" t="s">
        <v>110</v>
      </c>
      <c r="K18" s="168"/>
      <c r="P18" s="172">
        <f>+G31</f>
        <v>132519.04416944738</v>
      </c>
    </row>
    <row r="19" spans="2:17" ht="12.4" customHeight="1">
      <c r="D19" s="180"/>
      <c r="J19" s="181" t="s">
        <v>108</v>
      </c>
      <c r="K19" s="182"/>
      <c r="L19" s="182"/>
      <c r="M19" s="182"/>
      <c r="N19" s="182"/>
      <c r="O19" s="182"/>
      <c r="P19" s="183" t="e">
        <f>P14/P18</f>
        <v>#REF!</v>
      </c>
    </row>
    <row r="20" spans="2:17" ht="12.4" customHeight="1">
      <c r="B20" s="184" t="s">
        <v>111</v>
      </c>
      <c r="C20" s="163"/>
      <c r="D20" s="163"/>
      <c r="E20" s="163"/>
      <c r="F20" s="163"/>
      <c r="G20" s="163"/>
      <c r="H20" s="163"/>
    </row>
    <row r="21" spans="2:17" ht="12.4" customHeight="1">
      <c r="B21" s="185" t="s">
        <v>112</v>
      </c>
      <c r="D21" s="186"/>
      <c r="E21" s="187"/>
      <c r="F21" s="301"/>
      <c r="G21" s="301">
        <f>Dashboard!F32</f>
        <v>5971884.287769448</v>
      </c>
      <c r="H21" s="301"/>
      <c r="J21" s="188"/>
      <c r="K21" s="189"/>
      <c r="L21" s="190" t="s">
        <v>113</v>
      </c>
      <c r="M21" s="191"/>
      <c r="N21" s="192"/>
      <c r="O21" s="191"/>
      <c r="P21" s="191"/>
    </row>
    <row r="22" spans="2:17" ht="12.4" customHeight="1">
      <c r="B22" s="193" t="s">
        <v>114</v>
      </c>
      <c r="F22" s="305">
        <f>IFERROR(F21/#REF!-1,0)</f>
        <v>0</v>
      </c>
      <c r="G22" s="305">
        <f>IFERROR(G21/F21-1,0)</f>
        <v>0</v>
      </c>
      <c r="H22" s="305">
        <f t="shared" ref="H22" si="0">IFERROR(H21/G21-1,0)</f>
        <v>-1</v>
      </c>
      <c r="J22" s="188"/>
      <c r="K22" s="195" t="e">
        <f>#REF!</f>
        <v>#REF!</v>
      </c>
      <c r="L22" s="196">
        <f>M22-1</f>
        <v>47.776558012147063</v>
      </c>
      <c r="M22" s="196">
        <f>N22-1</f>
        <v>48.776558012147063</v>
      </c>
      <c r="N22" s="197">
        <v>49.776558012147063</v>
      </c>
      <c r="O22" s="196">
        <f>N22+1</f>
        <v>50.776558012147063</v>
      </c>
      <c r="P22" s="196">
        <f>O22+1</f>
        <v>51.776558012147063</v>
      </c>
    </row>
    <row r="23" spans="2:17" ht="12.4" customHeight="1">
      <c r="F23" s="302"/>
      <c r="G23" s="302"/>
      <c r="H23" s="302"/>
      <c r="J23" s="497" t="s">
        <v>115</v>
      </c>
      <c r="K23" s="198">
        <v>0.15</v>
      </c>
      <c r="L23" s="199">
        <v>692.09041986982152</v>
      </c>
      <c r="M23" s="200">
        <v>705.42795631019783</v>
      </c>
      <c r="N23" s="200">
        <v>718.76549275057414</v>
      </c>
      <c r="O23" s="200">
        <v>732.10302919095034</v>
      </c>
      <c r="P23" s="200">
        <v>745.44056563132654</v>
      </c>
    </row>
    <row r="24" spans="2:17" ht="12.4" customHeight="1">
      <c r="B24" s="185" t="s">
        <v>29</v>
      </c>
      <c r="E24" s="187"/>
      <c r="F24" s="301"/>
      <c r="G24" s="301">
        <f>Dashboard!F44</f>
        <v>3916475.077769448</v>
      </c>
      <c r="H24" s="301"/>
      <c r="J24" s="497"/>
      <c r="K24" s="198">
        <v>0.17499999999999999</v>
      </c>
      <c r="L24" s="201">
        <v>623.85999461077006</v>
      </c>
      <c r="M24" s="202">
        <v>635.83775132630353</v>
      </c>
      <c r="N24" s="202">
        <v>647.81550804183712</v>
      </c>
      <c r="O24" s="202">
        <v>659.79326475737059</v>
      </c>
      <c r="P24" s="202">
        <v>671.77102147290418</v>
      </c>
      <c r="Q24" s="203"/>
    </row>
    <row r="25" spans="2:17" ht="12.4" customHeight="1">
      <c r="B25" s="193" t="s">
        <v>114</v>
      </c>
      <c r="F25" s="305">
        <f>IFERROR(F24/#REF!-1,0)</f>
        <v>0</v>
      </c>
      <c r="G25" s="305">
        <f>IFERROR(G24/F24-1,0)</f>
        <v>0</v>
      </c>
      <c r="H25" s="305">
        <f t="shared" ref="H25" si="1">IFERROR(H24/G24-1,0)</f>
        <v>-1</v>
      </c>
      <c r="J25" s="497"/>
      <c r="K25" s="204">
        <v>0.15</v>
      </c>
      <c r="L25" s="201">
        <v>692.09041986982152</v>
      </c>
      <c r="M25" s="205">
        <v>705.42795631019783</v>
      </c>
      <c r="N25" s="206">
        <v>718.76549275057414</v>
      </c>
      <c r="O25" s="205">
        <v>732.10302919095034</v>
      </c>
      <c r="P25" s="202">
        <v>745.44056563132654</v>
      </c>
    </row>
    <row r="26" spans="2:17" ht="12.4" customHeight="1">
      <c r="B26" s="193" t="s">
        <v>116</v>
      </c>
      <c r="E26" s="194"/>
      <c r="F26" s="305">
        <f t="shared" ref="F26:H26" si="2">IFERROR(F24/F21,0)</f>
        <v>0</v>
      </c>
      <c r="G26" s="305">
        <f t="shared" si="2"/>
        <v>0.65581898259322879</v>
      </c>
      <c r="H26" s="305">
        <f t="shared" si="2"/>
        <v>0</v>
      </c>
      <c r="J26" s="497"/>
      <c r="K26" s="198">
        <v>0.25</v>
      </c>
      <c r="L26" s="201">
        <v>463.45647880040951</v>
      </c>
      <c r="M26" s="206">
        <v>472.24700263326815</v>
      </c>
      <c r="N26" s="207">
        <v>481.03752646612691</v>
      </c>
      <c r="O26" s="206">
        <v>489.82805029898554</v>
      </c>
      <c r="P26" s="202">
        <v>498.61857413184418</v>
      </c>
    </row>
    <row r="27" spans="2:17" ht="12.4" customHeight="1">
      <c r="F27" s="302"/>
      <c r="G27" s="302"/>
      <c r="H27" s="302"/>
      <c r="J27" s="497"/>
      <c r="K27" s="198">
        <v>0.3</v>
      </c>
      <c r="L27" s="201">
        <v>384.34451909693365</v>
      </c>
      <c r="M27" s="205">
        <v>391.56968891777427</v>
      </c>
      <c r="N27" s="206">
        <v>398.79485873861501</v>
      </c>
      <c r="O27" s="205">
        <v>406.02002855945562</v>
      </c>
      <c r="P27" s="202">
        <v>413.24519838029624</v>
      </c>
    </row>
    <row r="28" spans="2:17" ht="12.4" customHeight="1">
      <c r="B28" s="152" t="s">
        <v>117</v>
      </c>
      <c r="F28" s="301"/>
      <c r="G28" s="301">
        <f>Dashboard!F49</f>
        <v>-3783956.0336000007</v>
      </c>
      <c r="H28" s="301"/>
    </row>
    <row r="29" spans="2:17" ht="12.4" customHeight="1">
      <c r="B29" s="193" t="s">
        <v>118</v>
      </c>
      <c r="F29" s="305" t="e">
        <f t="shared" ref="F29:H29" si="3">-F28/F24</f>
        <v>#DIV/0!</v>
      </c>
      <c r="G29" s="305">
        <f t="shared" si="3"/>
        <v>0.96616369527750934</v>
      </c>
      <c r="H29" s="305" t="e">
        <f t="shared" si="3"/>
        <v>#DIV/0!</v>
      </c>
    </row>
    <row r="30" spans="2:17" ht="12.4" customHeight="1">
      <c r="F30" s="302"/>
      <c r="G30" s="302"/>
      <c r="H30" s="302"/>
      <c r="J30" s="210"/>
      <c r="K30" s="211"/>
      <c r="L30" s="212" t="s">
        <v>119</v>
      </c>
      <c r="M30" s="212"/>
      <c r="N30" s="213"/>
      <c r="O30" s="212"/>
      <c r="P30" s="212"/>
    </row>
    <row r="31" spans="2:17" ht="12.4" customHeight="1">
      <c r="B31" s="185" t="s">
        <v>120</v>
      </c>
      <c r="E31" s="187"/>
      <c r="F31" s="301"/>
      <c r="G31" s="301">
        <f>G24+G28</f>
        <v>132519.04416944738</v>
      </c>
      <c r="H31" s="301"/>
      <c r="J31" s="210"/>
      <c r="K31" s="195" t="e">
        <f>+#REF!</f>
        <v>#REF!</v>
      </c>
      <c r="L31" s="214">
        <v>0.03</v>
      </c>
      <c r="M31" s="214">
        <v>0.04</v>
      </c>
      <c r="N31" s="215">
        <v>0.05</v>
      </c>
      <c r="O31" s="214">
        <v>0.06</v>
      </c>
      <c r="P31" s="214">
        <v>7.0000000000000007E-2</v>
      </c>
    </row>
    <row r="32" spans="2:17" ht="12.4" customHeight="1">
      <c r="B32" s="193" t="s">
        <v>114</v>
      </c>
      <c r="F32" s="305">
        <f>IFERROR((-#REF!+F31)/-#REF!,0)</f>
        <v>0</v>
      </c>
      <c r="G32" s="305">
        <f>IFERROR(G31/F31-1,0)</f>
        <v>0</v>
      </c>
      <c r="H32" s="305">
        <f>IFERROR(H31/G31-1,0)</f>
        <v>-1</v>
      </c>
      <c r="J32" s="497" t="s">
        <v>115</v>
      </c>
      <c r="K32" s="198">
        <f>K33-2.5%</f>
        <v>0.1</v>
      </c>
      <c r="L32" s="199">
        <v>172.49474002543872</v>
      </c>
      <c r="M32" s="200">
        <v>192.07866054841179</v>
      </c>
      <c r="N32" s="200">
        <v>219.49614928057412</v>
      </c>
      <c r="O32" s="200">
        <v>260.62238237881752</v>
      </c>
      <c r="P32" s="200">
        <v>329.16610420922336</v>
      </c>
      <c r="Q32" s="216"/>
    </row>
    <row r="33" spans="1:17" ht="12.4" customHeight="1">
      <c r="B33" s="193" t="s">
        <v>116</v>
      </c>
      <c r="E33" s="194"/>
      <c r="F33" s="305">
        <f t="shared" ref="F33:H33" si="4">+IFERROR(F31/F21,0)</f>
        <v>0</v>
      </c>
      <c r="G33" s="305">
        <f t="shared" si="4"/>
        <v>2.2190490937818292E-2</v>
      </c>
      <c r="H33" s="305">
        <f t="shared" si="4"/>
        <v>0</v>
      </c>
      <c r="J33" s="497"/>
      <c r="K33" s="198">
        <f>K34-2.5%</f>
        <v>0.125</v>
      </c>
      <c r="L33" s="201">
        <v>123.22928543834051</v>
      </c>
      <c r="M33" s="202">
        <v>131.5501386709432</v>
      </c>
      <c r="N33" s="202">
        <v>142.08988609890662</v>
      </c>
      <c r="O33" s="202">
        <v>155.8726327354741</v>
      </c>
      <c r="P33" s="202">
        <v>174.66728723988439</v>
      </c>
      <c r="Q33" s="216"/>
    </row>
    <row r="34" spans="1:17" ht="12.4" customHeight="1">
      <c r="F34" s="302"/>
      <c r="G34" s="302"/>
      <c r="H34" s="302"/>
      <c r="J34" s="497"/>
      <c r="K34" s="204">
        <v>0.15</v>
      </c>
      <c r="L34" s="201">
        <v>96.017967561701454</v>
      </c>
      <c r="M34" s="205">
        <v>100.19462253529697</v>
      </c>
      <c r="N34" s="206">
        <v>105.20660850361159</v>
      </c>
      <c r="O34" s="205">
        <v>111.33236913155166</v>
      </c>
      <c r="P34" s="202">
        <v>118.98956991647677</v>
      </c>
      <c r="Q34" s="216"/>
    </row>
    <row r="35" spans="1:17" ht="12.4" customHeight="1">
      <c r="A35" s="217"/>
      <c r="B35" s="218" t="s">
        <v>121</v>
      </c>
      <c r="C35" s="217"/>
      <c r="D35" s="217"/>
      <c r="E35" s="219"/>
      <c r="F35" s="303">
        <f t="shared" ref="F35:H35" si="5">-$D$16*F21</f>
        <v>0</v>
      </c>
      <c r="G35" s="303">
        <f>-$D$16*G21</f>
        <v>-59718.842877694478</v>
      </c>
      <c r="H35" s="303">
        <f t="shared" si="5"/>
        <v>0</v>
      </c>
      <c r="J35" s="497"/>
      <c r="K35" s="198">
        <f>K34+2.5%</f>
        <v>0.17499999999999999</v>
      </c>
      <c r="L35" s="201">
        <v>79.068629620563868</v>
      </c>
      <c r="M35" s="206">
        <v>81.389444630432081</v>
      </c>
      <c r="N35" s="207">
        <v>84.08159004187921</v>
      </c>
      <c r="O35" s="206">
        <v>87.241934655317152</v>
      </c>
      <c r="P35" s="202">
        <v>91.004249671314682</v>
      </c>
      <c r="Q35" s="216"/>
    </row>
    <row r="36" spans="1:17" ht="12.4" customHeight="1">
      <c r="A36" s="217"/>
      <c r="B36" s="217"/>
      <c r="C36" s="217"/>
      <c r="D36" s="217"/>
      <c r="E36" s="217"/>
      <c r="F36" s="303"/>
      <c r="G36" s="303"/>
      <c r="H36" s="303"/>
      <c r="J36" s="497"/>
      <c r="K36" s="198">
        <f>K35+2.5%</f>
        <v>0.19999999999999998</v>
      </c>
      <c r="L36" s="201">
        <v>67.617730999195132</v>
      </c>
      <c r="M36" s="205">
        <v>68.999651234935953</v>
      </c>
      <c r="N36" s="206">
        <v>70.565827502108888</v>
      </c>
      <c r="O36" s="205">
        <v>72.3557432360208</v>
      </c>
      <c r="P36" s="202">
        <v>74.4210306213038</v>
      </c>
      <c r="Q36" s="216"/>
    </row>
    <row r="37" spans="1:17" ht="12.4" customHeight="1">
      <c r="B37" s="185" t="s">
        <v>122</v>
      </c>
      <c r="E37" s="220"/>
      <c r="F37" s="304">
        <f t="shared" ref="F37:H37" si="6">+F31+F35</f>
        <v>0</v>
      </c>
      <c r="G37" s="304">
        <f t="shared" si="6"/>
        <v>72800.201291752906</v>
      </c>
      <c r="H37" s="304">
        <f t="shared" si="6"/>
        <v>0</v>
      </c>
      <c r="Q37" s="216"/>
    </row>
    <row r="38" spans="1:17" ht="12.4" customHeight="1">
      <c r="F38" s="302"/>
      <c r="G38" s="302"/>
      <c r="H38" s="302"/>
      <c r="Q38" s="216"/>
    </row>
    <row r="39" spans="1:17" ht="12.4" customHeight="1">
      <c r="B39" s="152" t="s">
        <v>123</v>
      </c>
      <c r="E39" s="202"/>
      <c r="F39" s="302">
        <f t="shared" ref="F39:H39" si="7">+F37*-$D$9</f>
        <v>0</v>
      </c>
      <c r="G39" s="302">
        <f>+G37*-$D$9</f>
        <v>-13832.038245433052</v>
      </c>
      <c r="H39" s="302">
        <f t="shared" si="7"/>
        <v>0</v>
      </c>
    </row>
    <row r="40" spans="1:17" ht="12.4" customHeight="1">
      <c r="F40" s="302"/>
      <c r="G40" s="302"/>
      <c r="H40" s="302"/>
      <c r="L40" s="209"/>
      <c r="M40" s="209"/>
      <c r="N40" s="209"/>
      <c r="O40" s="209"/>
      <c r="P40" s="209"/>
    </row>
    <row r="41" spans="1:17" ht="12.4" customHeight="1">
      <c r="B41" s="152" t="s">
        <v>124</v>
      </c>
      <c r="E41" s="221"/>
      <c r="F41" s="302">
        <f t="shared" ref="F41:H41" si="8">SUM(F37:F39)</f>
        <v>0</v>
      </c>
      <c r="G41" s="302">
        <f>SUM(G37:G39)</f>
        <v>58968.163046319853</v>
      </c>
      <c r="H41" s="302">
        <f t="shared" si="8"/>
        <v>0</v>
      </c>
      <c r="L41" s="209"/>
      <c r="M41" s="209"/>
      <c r="N41" s="209"/>
      <c r="O41" s="209"/>
      <c r="P41" s="209"/>
    </row>
    <row r="42" spans="1:17" ht="12.4" customHeight="1">
      <c r="B42" s="222" t="s">
        <v>125</v>
      </c>
      <c r="E42" s="202"/>
      <c r="F42" s="302">
        <f t="shared" ref="F42:H42" si="9">+-F35</f>
        <v>0</v>
      </c>
      <c r="G42" s="302">
        <f>+-G35</f>
        <v>59718.842877694478</v>
      </c>
      <c r="H42" s="302">
        <f t="shared" si="9"/>
        <v>0</v>
      </c>
      <c r="L42" s="209"/>
      <c r="M42" s="209"/>
      <c r="N42" s="209"/>
      <c r="O42" s="209"/>
      <c r="P42" s="209"/>
    </row>
    <row r="43" spans="1:17" ht="12.4" customHeight="1">
      <c r="B43" s="222" t="s">
        <v>126</v>
      </c>
      <c r="E43" s="223"/>
      <c r="F43" s="303">
        <f t="shared" ref="F43:H43" si="10">F21*$D$14</f>
        <v>0</v>
      </c>
      <c r="G43" s="303">
        <f>G21*$D$14</f>
        <v>5971.8842877694478</v>
      </c>
      <c r="H43" s="303">
        <f t="shared" si="10"/>
        <v>0</v>
      </c>
      <c r="L43" s="209"/>
      <c r="M43" s="209"/>
      <c r="N43" s="209"/>
      <c r="O43" s="209"/>
      <c r="P43" s="209"/>
    </row>
    <row r="44" spans="1:17" ht="12.4" customHeight="1">
      <c r="B44" s="222" t="s">
        <v>127</v>
      </c>
      <c r="E44" s="223"/>
      <c r="F44" s="303">
        <f t="shared" ref="F44:H44" si="11">F21*$D$15</f>
        <v>0</v>
      </c>
      <c r="G44" s="303">
        <f>G21*$D$15</f>
        <v>-89578.26431654171</v>
      </c>
      <c r="H44" s="303">
        <f t="shared" si="11"/>
        <v>0</v>
      </c>
      <c r="L44" s="209"/>
      <c r="M44" s="209"/>
      <c r="N44" s="209"/>
      <c r="O44" s="209"/>
      <c r="P44" s="209"/>
    </row>
    <row r="45" spans="1:17" ht="12.4" customHeight="1">
      <c r="B45" s="185" t="s">
        <v>128</v>
      </c>
      <c r="E45" s="220"/>
      <c r="F45" s="304">
        <f t="shared" ref="F45:H45" si="12">SUM(F41:F44)</f>
        <v>0</v>
      </c>
      <c r="G45" s="304">
        <f t="shared" si="12"/>
        <v>35080.625895242076</v>
      </c>
      <c r="H45" s="304">
        <f t="shared" si="12"/>
        <v>0</v>
      </c>
    </row>
    <row r="46" spans="1:17" ht="12.4" customHeight="1">
      <c r="F46" s="302"/>
      <c r="G46" s="302"/>
      <c r="H46" s="302"/>
      <c r="K46" s="224"/>
    </row>
    <row r="47" spans="1:17" ht="12.4" customHeight="1">
      <c r="B47" s="152" t="s">
        <v>129</v>
      </c>
      <c r="F47" s="306">
        <f>IF($D$18=1,1,0.5)</f>
        <v>1</v>
      </c>
      <c r="G47" s="306">
        <f t="shared" ref="G47:H47" si="13">IF($D$18=1,1,0.5)</f>
        <v>1</v>
      </c>
      <c r="H47" s="306">
        <f t="shared" si="13"/>
        <v>1</v>
      </c>
      <c r="K47" s="225"/>
    </row>
    <row r="48" spans="1:17" ht="12.4" customHeight="1">
      <c r="B48" s="152" t="s">
        <v>130</v>
      </c>
      <c r="F48" s="307">
        <f>+SUM($F$47:F47)</f>
        <v>1</v>
      </c>
      <c r="G48" s="307">
        <f>+SUM($F$47:G47)</f>
        <v>2</v>
      </c>
      <c r="H48" s="307">
        <f>+SUM($F$47:H47)</f>
        <v>3</v>
      </c>
      <c r="K48" s="225"/>
    </row>
    <row r="49" spans="2:14" ht="12.4" customHeight="1">
      <c r="B49" s="152" t="s">
        <v>131</v>
      </c>
      <c r="F49" s="307">
        <f>(1/(1+$D$10)^F48)</f>
        <v>0.86956521739130443</v>
      </c>
      <c r="G49" s="307">
        <f t="shared" ref="G49:H49" si="14">(1/(1+$D$10)^G48)</f>
        <v>0.7561436672967865</v>
      </c>
      <c r="H49" s="307">
        <f t="shared" si="14"/>
        <v>0.65751623243198831</v>
      </c>
      <c r="K49" s="220"/>
    </row>
    <row r="50" spans="2:14" ht="12.4" customHeight="1">
      <c r="B50" s="152" t="s">
        <v>132</v>
      </c>
      <c r="F50" s="304">
        <f t="shared" ref="F50:H50" si="15">+F49*F45</f>
        <v>0</v>
      </c>
      <c r="G50" s="304">
        <f t="shared" si="15"/>
        <v>26525.993115494959</v>
      </c>
      <c r="H50" s="304">
        <f t="shared" si="15"/>
        <v>0</v>
      </c>
    </row>
    <row r="52" spans="2:14" ht="12.4" customHeight="1">
      <c r="B52" s="163" t="s">
        <v>133</v>
      </c>
      <c r="C52" s="163"/>
      <c r="D52" s="163"/>
      <c r="E52" s="163"/>
      <c r="F52" s="163"/>
      <c r="G52" s="308">
        <f>D11</f>
        <v>20</v>
      </c>
      <c r="H52" s="308">
        <f>D12</f>
        <v>20</v>
      </c>
    </row>
    <row r="54" spans="2:14" ht="12.4" customHeight="1">
      <c r="B54" s="152" t="s">
        <v>98</v>
      </c>
      <c r="G54" s="302">
        <f>G21*G52</f>
        <v>119437685.75538896</v>
      </c>
      <c r="H54" s="302">
        <f>H21*H52</f>
        <v>0</v>
      </c>
    </row>
    <row r="55" spans="2:14" ht="12.4" customHeight="1">
      <c r="B55" s="152" t="s">
        <v>101</v>
      </c>
      <c r="G55" s="302">
        <f>G54*G49</f>
        <v>90312049.720520973</v>
      </c>
      <c r="H55" s="302">
        <f>H54*H49</f>
        <v>0</v>
      </c>
      <c r="N55" s="208"/>
    </row>
    <row r="56" spans="2:14" ht="12.4" customHeight="1">
      <c r="B56" s="152" t="s">
        <v>132</v>
      </c>
      <c r="G56" s="302">
        <f>G50+F50</f>
        <v>26525.993115494959</v>
      </c>
      <c r="H56" s="302">
        <f>G56+H50</f>
        <v>26525.993115494959</v>
      </c>
    </row>
    <row r="57" spans="2:14" ht="12.4" customHeight="1">
      <c r="N57" s="208"/>
    </row>
    <row r="58" spans="2:14" ht="12.4" customHeight="1">
      <c r="B58" s="226" t="s">
        <v>134</v>
      </c>
      <c r="C58" s="227"/>
      <c r="D58" s="227"/>
      <c r="E58" s="227"/>
      <c r="F58" s="227"/>
      <c r="G58" s="309">
        <f>G55+G56</f>
        <v>90338575.713636473</v>
      </c>
      <c r="H58" s="309">
        <f>H55+H56</f>
        <v>26525.993115494959</v>
      </c>
    </row>
    <row r="59" spans="2:14" ht="12.4" customHeight="1">
      <c r="B59" s="152" t="s">
        <v>79</v>
      </c>
      <c r="G59" s="152">
        <v>0</v>
      </c>
      <c r="H59" s="152">
        <v>0</v>
      </c>
    </row>
    <row r="60" spans="2:14" ht="12.4" customHeight="1">
      <c r="B60" s="226" t="s">
        <v>135</v>
      </c>
      <c r="C60" s="227"/>
      <c r="D60" s="227"/>
      <c r="E60" s="227"/>
      <c r="F60" s="227"/>
      <c r="G60" s="309">
        <f>G58-G59</f>
        <v>90338575.713636473</v>
      </c>
      <c r="H60" s="309">
        <f>H58-H59</f>
        <v>26525.993115494959</v>
      </c>
    </row>
    <row r="62" spans="2:14" ht="12.4" hidden="1" customHeight="1">
      <c r="B62" s="163" t="s">
        <v>102</v>
      </c>
      <c r="C62" s="163"/>
      <c r="D62" s="163"/>
      <c r="E62" s="163"/>
      <c r="F62" s="163"/>
      <c r="G62" s="228">
        <f>D13</f>
        <v>0.03</v>
      </c>
      <c r="H62" s="228">
        <f>D13</f>
        <v>0.03</v>
      </c>
    </row>
    <row r="63" spans="2:14" hidden="1"/>
    <row r="64" spans="2:14" ht="12.4" hidden="1" customHeight="1">
      <c r="B64" s="152" t="s">
        <v>98</v>
      </c>
      <c r="G64" s="302">
        <f>+(G50*(1+H62)/(D10-D13))</f>
        <v>227681.44090799839</v>
      </c>
      <c r="H64" s="302">
        <f>+(H50*(1+H62)/(D10-D13))</f>
        <v>0</v>
      </c>
    </row>
    <row r="65" spans="2:10" ht="12.4" hidden="1" customHeight="1">
      <c r="B65" s="152" t="s">
        <v>101</v>
      </c>
      <c r="G65" s="302">
        <f>G64*G49</f>
        <v>172159.8797035905</v>
      </c>
      <c r="H65" s="302">
        <f>H64*H49</f>
        <v>0</v>
      </c>
    </row>
    <row r="66" spans="2:10" ht="12.4" hidden="1" customHeight="1">
      <c r="B66" s="152" t="s">
        <v>132</v>
      </c>
      <c r="G66" s="302">
        <f>G56</f>
        <v>26525.993115494959</v>
      </c>
      <c r="H66" s="302">
        <f>H56</f>
        <v>26525.993115494959</v>
      </c>
    </row>
    <row r="67" spans="2:10" hidden="1"/>
    <row r="68" spans="2:10" ht="12.4" hidden="1" customHeight="1">
      <c r="B68" s="226" t="s">
        <v>134</v>
      </c>
      <c r="C68" s="227"/>
      <c r="D68" s="227"/>
      <c r="E68" s="227"/>
      <c r="F68" s="227"/>
      <c r="G68" s="309">
        <f>G66+G65</f>
        <v>198685.87281908546</v>
      </c>
      <c r="H68" s="309">
        <f>H66+H65</f>
        <v>26525.993115494959</v>
      </c>
    </row>
    <row r="69" spans="2:10" ht="12.4" hidden="1" customHeight="1">
      <c r="B69" s="152" t="s">
        <v>79</v>
      </c>
      <c r="G69" s="152">
        <v>0</v>
      </c>
      <c r="H69" s="152">
        <v>0</v>
      </c>
    </row>
    <row r="70" spans="2:10" ht="12.4" hidden="1" customHeight="1">
      <c r="B70" s="226" t="s">
        <v>135</v>
      </c>
      <c r="C70" s="227"/>
      <c r="D70" s="227"/>
      <c r="E70" s="227"/>
      <c r="F70" s="227"/>
      <c r="G70" s="309">
        <f>G68-G69</f>
        <v>198685.87281908546</v>
      </c>
      <c r="H70" s="309">
        <f>H68-H69</f>
        <v>26525.993115494959</v>
      </c>
    </row>
    <row r="71" spans="2:10" ht="12.4" customHeight="1"/>
    <row r="72" spans="2:10" ht="12.4" customHeight="1">
      <c r="B72" s="163" t="s">
        <v>136</v>
      </c>
      <c r="C72" s="163"/>
      <c r="D72" s="163"/>
      <c r="E72" s="163"/>
      <c r="F72" s="163"/>
      <c r="G72" s="163"/>
      <c r="H72" s="163"/>
      <c r="I72" s="163"/>
      <c r="J72" s="163"/>
    </row>
    <row r="74" spans="2:10" ht="12.4" customHeight="1">
      <c r="D74" s="229" t="s">
        <v>134</v>
      </c>
      <c r="E74" s="229"/>
      <c r="F74" s="229"/>
      <c r="I74" s="229"/>
      <c r="J74" s="229"/>
    </row>
    <row r="75" spans="2:10" ht="12.4" customHeight="1">
      <c r="D75" s="230" t="s">
        <v>137</v>
      </c>
      <c r="E75" s="230"/>
      <c r="F75" s="230"/>
      <c r="I75" s="230"/>
      <c r="J75" s="230"/>
    </row>
    <row r="76" spans="2:10" ht="12.4" customHeight="1">
      <c r="C76" s="195" t="e">
        <f>#REF!</f>
        <v>#REF!</v>
      </c>
      <c r="D76" s="231">
        <f>+E76-5</f>
        <v>15</v>
      </c>
      <c r="E76" s="232">
        <v>20</v>
      </c>
      <c r="F76" s="231" t="e">
        <f>+#REF!+5</f>
        <v>#REF!</v>
      </c>
      <c r="H76" s="195"/>
      <c r="I76" s="231" t="e">
        <f>#REF!</f>
        <v>#REF!</v>
      </c>
      <c r="J76" s="231" t="e">
        <f>F76</f>
        <v>#REF!</v>
      </c>
    </row>
    <row r="77" spans="2:10" ht="12.4" customHeight="1">
      <c r="B77" s="152" t="s">
        <v>138</v>
      </c>
      <c r="C77" s="233">
        <f>+C78-2.5%</f>
        <v>0.1</v>
      </c>
      <c r="D77" s="234">
        <v>808.31975641565532</v>
      </c>
      <c r="E77" s="235">
        <v>891.60564033718924</v>
      </c>
      <c r="F77" s="236">
        <v>1058.1774081802569</v>
      </c>
      <c r="H77" s="233">
        <f>+C77</f>
        <v>0.1</v>
      </c>
      <c r="I77" s="235" t="e">
        <f>+#REF!-$D$7</f>
        <v>#REF!</v>
      </c>
      <c r="J77" s="236">
        <f>+F77-$D$7</f>
        <v>1058.1774081802569</v>
      </c>
    </row>
    <row r="78" spans="2:10" ht="12.4" customHeight="1">
      <c r="C78" s="233">
        <f>+C79-2.5%</f>
        <v>0.125</v>
      </c>
      <c r="D78" s="237">
        <v>725.05553223432355</v>
      </c>
      <c r="E78" s="238">
        <v>799.48967873010395</v>
      </c>
      <c r="F78" s="239">
        <v>948.35797172166485</v>
      </c>
      <c r="H78" s="233">
        <f>+C78</f>
        <v>0.125</v>
      </c>
      <c r="I78" s="238" t="e">
        <f>+#REF!-$D$7</f>
        <v>#REF!</v>
      </c>
      <c r="J78" s="239">
        <f>+F78-$D$7</f>
        <v>948.35797172166485</v>
      </c>
    </row>
    <row r="79" spans="2:10" ht="12.4" customHeight="1">
      <c r="B79" s="152" t="s">
        <v>139</v>
      </c>
      <c r="C79" s="175">
        <v>0.15</v>
      </c>
      <c r="D79" s="237">
        <v>652.07781054869281</v>
      </c>
      <c r="E79" s="238">
        <v>718.76549275057414</v>
      </c>
      <c r="F79" s="239">
        <v>852.14085715433646</v>
      </c>
      <c r="H79" s="175">
        <v>0.15</v>
      </c>
      <c r="I79" s="238" t="e">
        <f>+#REF!-$D$7</f>
        <v>#REF!</v>
      </c>
      <c r="J79" s="239">
        <f>+F79-$D$7</f>
        <v>852.14085715433646</v>
      </c>
    </row>
    <row r="80" spans="2:10" ht="12.4" customHeight="1">
      <c r="C80" s="233">
        <f t="shared" ref="C80:C81" si="16">+C79+2.5%</f>
        <v>0.17499999999999999</v>
      </c>
      <c r="D80" s="237">
        <v>587.92672446416941</v>
      </c>
      <c r="E80" s="238">
        <v>647.81550804183712</v>
      </c>
      <c r="F80" s="239">
        <v>767.59307519717242</v>
      </c>
      <c r="H80" s="233">
        <f>+C80</f>
        <v>0.17499999999999999</v>
      </c>
      <c r="I80" s="238" t="e">
        <f>+#REF!-$D$7</f>
        <v>#REF!</v>
      </c>
      <c r="J80" s="239">
        <f>+F80-$D$7</f>
        <v>767.59307519717242</v>
      </c>
    </row>
    <row r="81" spans="2:10" ht="12.4" customHeight="1">
      <c r="B81" s="152" t="s">
        <v>140</v>
      </c>
      <c r="C81" s="233">
        <f t="shared" si="16"/>
        <v>0.19999999999999998</v>
      </c>
      <c r="D81" s="240">
        <v>531.37492537201967</v>
      </c>
      <c r="E81" s="241">
        <v>585.2798688336602</v>
      </c>
      <c r="F81" s="242">
        <v>693.08975575694137</v>
      </c>
      <c r="H81" s="233">
        <f>+C81</f>
        <v>0.19999999999999998</v>
      </c>
      <c r="I81" s="241" t="e">
        <f>+#REF!-$D$7</f>
        <v>#REF!</v>
      </c>
      <c r="J81" s="242">
        <f>+F81-$D$7</f>
        <v>693.08975575694137</v>
      </c>
    </row>
    <row r="83" spans="2:10" ht="12.4" customHeight="1">
      <c r="D83" s="229" t="s">
        <v>141</v>
      </c>
      <c r="E83" s="229"/>
      <c r="F83" s="229"/>
      <c r="I83" s="229"/>
      <c r="J83" s="229"/>
    </row>
    <row r="84" spans="2:10" ht="12.4" customHeight="1">
      <c r="D84" s="230" t="s">
        <v>142</v>
      </c>
      <c r="E84" s="230"/>
      <c r="F84" s="230"/>
      <c r="I84" s="230"/>
      <c r="J84" s="230"/>
    </row>
    <row r="85" spans="2:10" ht="12.4" customHeight="1">
      <c r="D85" s="231">
        <f>+D76</f>
        <v>15</v>
      </c>
      <c r="E85" s="232">
        <v>20.100000000000001</v>
      </c>
      <c r="F85" s="231" t="e">
        <f>+F76</f>
        <v>#REF!</v>
      </c>
      <c r="H85" s="195"/>
      <c r="I85" s="231" t="e">
        <f>#REF!</f>
        <v>#REF!</v>
      </c>
      <c r="J85" s="231" t="e">
        <f>F85</f>
        <v>#REF!</v>
      </c>
    </row>
    <row r="86" spans="2:10" ht="12.4" customHeight="1">
      <c r="B86" s="152" t="s">
        <v>138</v>
      </c>
      <c r="C86" s="233">
        <v>0.105</v>
      </c>
      <c r="D86" s="243" t="e">
        <f>+(#REF!*$C77*D$76-#REF!)/(#REF!*D$76+#REF!)</f>
        <v>#REF!</v>
      </c>
      <c r="E86" s="244" t="e">
        <f>+(#REF!*$C77*E$76-#REF!)/(#REF!*E$76+#REF!)</f>
        <v>#REF!</v>
      </c>
      <c r="F86" s="245" t="e">
        <f>+(#REF!*$C77*F$76-#REF!)/(#REF!*F$76+#REF!)</f>
        <v>#REF!</v>
      </c>
      <c r="H86" s="233">
        <f>+C86</f>
        <v>0.105</v>
      </c>
      <c r="I86" s="246" t="str">
        <f t="shared" ref="I86:J90" si="17">IFERROR(I77/$D$8,"na")</f>
        <v>na</v>
      </c>
      <c r="J86" s="247" t="str">
        <f t="shared" si="17"/>
        <v>na</v>
      </c>
    </row>
    <row r="87" spans="2:10" ht="12.4" customHeight="1">
      <c r="C87" s="233">
        <v>0.115</v>
      </c>
      <c r="D87" s="248" t="e">
        <f>+(#REF!*$C78*D$76-#REF!)/(#REF!*D$76+#REF!)</f>
        <v>#REF!</v>
      </c>
      <c r="E87" s="249" t="e">
        <f>+(#REF!*$C78*E$76-#REF!)/(#REF!*E$76+#REF!)</f>
        <v>#REF!</v>
      </c>
      <c r="F87" s="250" t="e">
        <f>+(#REF!*$C78*F$76-#REF!)/(#REF!*F$76+#REF!)</f>
        <v>#REF!</v>
      </c>
      <c r="H87" s="233">
        <f>+C87</f>
        <v>0.115</v>
      </c>
      <c r="I87" s="251" t="str">
        <f t="shared" si="17"/>
        <v>na</v>
      </c>
      <c r="J87" s="252" t="str">
        <f t="shared" si="17"/>
        <v>na</v>
      </c>
    </row>
    <row r="88" spans="2:10" ht="12.4" customHeight="1">
      <c r="B88" s="152" t="s">
        <v>139</v>
      </c>
      <c r="C88" s="175">
        <v>0.15</v>
      </c>
      <c r="D88" s="248" t="e">
        <f>+(#REF!*$C79*D$76-#REF!)/(#REF!*D$76+#REF!)</f>
        <v>#REF!</v>
      </c>
      <c r="E88" s="249" t="e">
        <f>+(#REF!*$C79*E$76-#REF!)/(#REF!*E$76+#REF!)</f>
        <v>#REF!</v>
      </c>
      <c r="F88" s="250" t="e">
        <f>+(#REF!*$C79*F$76-#REF!)/(#REF!*F$76+#REF!)</f>
        <v>#REF!</v>
      </c>
      <c r="H88" s="175">
        <v>0.15</v>
      </c>
      <c r="I88" s="251" t="str">
        <f t="shared" si="17"/>
        <v>na</v>
      </c>
      <c r="J88" s="252" t="str">
        <f t="shared" si="17"/>
        <v>na</v>
      </c>
    </row>
    <row r="89" spans="2:10" ht="12.4" customHeight="1">
      <c r="C89" s="233">
        <v>0.13500000000000001</v>
      </c>
      <c r="D89" s="248" t="e">
        <f>+(#REF!*$C80*D$76-#REF!)/(#REF!*D$76+#REF!)</f>
        <v>#REF!</v>
      </c>
      <c r="E89" s="249" t="e">
        <f>+(#REF!*$C80*E$76-#REF!)/(#REF!*E$76+#REF!)</f>
        <v>#REF!</v>
      </c>
      <c r="F89" s="250" t="e">
        <f>+(#REF!*$C80*F$76-#REF!)/(#REF!*F$76+#REF!)</f>
        <v>#REF!</v>
      </c>
      <c r="H89" s="233">
        <f>+C89</f>
        <v>0.13500000000000001</v>
      </c>
      <c r="I89" s="251" t="str">
        <f t="shared" si="17"/>
        <v>na</v>
      </c>
      <c r="J89" s="252" t="str">
        <f t="shared" si="17"/>
        <v>na</v>
      </c>
    </row>
    <row r="90" spans="2:10" ht="12.4" customHeight="1">
      <c r="B90" s="152" t="s">
        <v>140</v>
      </c>
      <c r="C90" s="233">
        <v>0.14499999999999999</v>
      </c>
      <c r="D90" s="253" t="e">
        <f>+(#REF!*$C81*D$76-#REF!)/(#REF!*D$76+#REF!)</f>
        <v>#REF!</v>
      </c>
      <c r="E90" s="254" t="e">
        <f>+(#REF!*$C81*E$76-#REF!)/(#REF!*E$76+#REF!)</f>
        <v>#REF!</v>
      </c>
      <c r="F90" s="255" t="e">
        <f>+(#REF!*$C81*F$76-#REF!)/(#REF!*F$76+#REF!)</f>
        <v>#REF!</v>
      </c>
      <c r="H90" s="233">
        <f>+C90</f>
        <v>0.14499999999999999</v>
      </c>
      <c r="I90" s="256" t="str">
        <f t="shared" si="17"/>
        <v>na</v>
      </c>
      <c r="J90" s="257" t="str">
        <f t="shared" si="17"/>
        <v>na</v>
      </c>
    </row>
    <row r="92" spans="2:10" ht="12.4" hidden="1" customHeight="1">
      <c r="B92" s="163" t="s">
        <v>143</v>
      </c>
      <c r="C92" s="163"/>
      <c r="D92" s="163"/>
      <c r="E92" s="163"/>
      <c r="F92" s="163"/>
      <c r="G92" s="163"/>
      <c r="H92" s="163"/>
      <c r="I92" s="228"/>
      <c r="J92" s="228"/>
    </row>
    <row r="93" spans="2:10" hidden="1"/>
    <row r="94" spans="2:10" ht="12.4" hidden="1" customHeight="1">
      <c r="D94" s="229" t="s">
        <v>134</v>
      </c>
      <c r="E94" s="229"/>
      <c r="F94" s="229"/>
      <c r="I94" s="229"/>
      <c r="J94" s="229"/>
    </row>
    <row r="95" spans="2:10" ht="12.4" hidden="1" customHeight="1">
      <c r="D95" s="230" t="s">
        <v>102</v>
      </c>
      <c r="E95" s="230"/>
      <c r="F95" s="230"/>
      <c r="I95" s="230"/>
      <c r="J95" s="230"/>
    </row>
    <row r="96" spans="2:10" ht="12.4" hidden="1" customHeight="1">
      <c r="C96" s="195" t="e">
        <f>+#REF!</f>
        <v>#REF!</v>
      </c>
      <c r="D96" s="175">
        <v>0.05</v>
      </c>
      <c r="E96" s="233">
        <f>+D96+1%</f>
        <v>6.0000000000000005E-2</v>
      </c>
      <c r="F96" s="233" t="e">
        <f>+#REF!+1%</f>
        <v>#REF!</v>
      </c>
      <c r="H96" s="195"/>
      <c r="I96" s="233" t="e">
        <f>+#REF!</f>
        <v>#REF!</v>
      </c>
      <c r="J96" s="233" t="e">
        <f>+F96</f>
        <v>#REF!</v>
      </c>
    </row>
    <row r="97" spans="2:10" ht="12.4" hidden="1" customHeight="1">
      <c r="B97" s="152" t="s">
        <v>138</v>
      </c>
      <c r="C97" s="233">
        <f>C77</f>
        <v>0.1</v>
      </c>
      <c r="D97" s="234">
        <v>219.49614928057412</v>
      </c>
      <c r="E97" s="235">
        <v>260.62238237881758</v>
      </c>
      <c r="F97" s="236">
        <v>466.25354787003477</v>
      </c>
      <c r="H97" s="233">
        <f>C97</f>
        <v>0.1</v>
      </c>
      <c r="I97" s="235" t="e">
        <f>+#REF!-$D$7</f>
        <v>#REF!</v>
      </c>
      <c r="J97" s="236">
        <f>+F97-$D$7</f>
        <v>466.25354787003477</v>
      </c>
    </row>
    <row r="98" spans="2:10" ht="12.4" hidden="1" customHeight="1">
      <c r="C98" s="233">
        <f>C78</f>
        <v>0.125</v>
      </c>
      <c r="D98" s="237">
        <v>142.08988609890662</v>
      </c>
      <c r="E98" s="238">
        <v>155.8726327354741</v>
      </c>
      <c r="F98" s="239">
        <v>201.81512152403252</v>
      </c>
      <c r="H98" s="233">
        <f>C98</f>
        <v>0.125</v>
      </c>
      <c r="I98" s="238" t="e">
        <f>+#REF!-$D$7</f>
        <v>#REF!</v>
      </c>
      <c r="J98" s="239">
        <f>+F98-$D$7</f>
        <v>201.81512152403252</v>
      </c>
    </row>
    <row r="99" spans="2:10" ht="12.4" hidden="1" customHeight="1">
      <c r="B99" s="152" t="s">
        <v>139</v>
      </c>
      <c r="C99" s="175">
        <v>0.15</v>
      </c>
      <c r="D99" s="237">
        <v>105.20660850361159</v>
      </c>
      <c r="E99" s="238">
        <v>111.33236913155166</v>
      </c>
      <c r="F99" s="239">
        <v>128.83454235423761</v>
      </c>
      <c r="H99" s="175">
        <v>0.15</v>
      </c>
      <c r="I99" s="238" t="e">
        <f>+#REF!-$D$7</f>
        <v>#REF!</v>
      </c>
      <c r="J99" s="239">
        <f>+F99-$D$7</f>
        <v>128.83454235423761</v>
      </c>
    </row>
    <row r="100" spans="2:10" ht="12.4" hidden="1" customHeight="1">
      <c r="C100" s="233">
        <f>C80</f>
        <v>0.17499999999999999</v>
      </c>
      <c r="D100" s="237">
        <v>84.08159004187921</v>
      </c>
      <c r="E100" s="238">
        <v>87.241934655317152</v>
      </c>
      <c r="F100" s="239">
        <v>95.558631006469597</v>
      </c>
      <c r="H100" s="233">
        <f>C100</f>
        <v>0.17499999999999999</v>
      </c>
      <c r="I100" s="238" t="e">
        <f>+#REF!-$D$7</f>
        <v>#REF!</v>
      </c>
      <c r="J100" s="239">
        <f>+F100-$D$7</f>
        <v>95.558631006469597</v>
      </c>
    </row>
    <row r="101" spans="2:10" ht="12.4" hidden="1" customHeight="1">
      <c r="B101" s="152" t="s">
        <v>140</v>
      </c>
      <c r="C101" s="233">
        <f>C81</f>
        <v>0.19999999999999998</v>
      </c>
      <c r="D101" s="240">
        <v>70.565827502108888</v>
      </c>
      <c r="E101" s="241">
        <v>72.3557432360208</v>
      </c>
      <c r="F101" s="242">
        <v>76.830532570800614</v>
      </c>
      <c r="H101" s="233">
        <f>C101</f>
        <v>0.19999999999999998</v>
      </c>
      <c r="I101" s="241" t="e">
        <f>+#REF!-$D$7</f>
        <v>#REF!</v>
      </c>
      <c r="J101" s="242">
        <f>+F101-$D$7</f>
        <v>76.830532570800614</v>
      </c>
    </row>
    <row r="102" spans="2:10" hidden="1"/>
    <row r="103" spans="2:10" ht="12.4" hidden="1" customHeight="1">
      <c r="D103" s="229" t="s">
        <v>144</v>
      </c>
      <c r="E103" s="229"/>
      <c r="F103" s="229"/>
      <c r="I103" s="229"/>
      <c r="J103" s="229"/>
    </row>
    <row r="104" spans="2:10" ht="12.4" hidden="1" customHeight="1">
      <c r="D104" s="230" t="s">
        <v>102</v>
      </c>
      <c r="E104" s="230"/>
      <c r="F104" s="230"/>
      <c r="I104" s="230"/>
      <c r="J104" s="230"/>
    </row>
    <row r="105" spans="2:10" ht="12.4" hidden="1" customHeight="1">
      <c r="C105" s="195"/>
      <c r="D105" s="175">
        <v>0.05</v>
      </c>
      <c r="E105" s="233">
        <f t="shared" ref="E105:F105" si="18">E96</f>
        <v>6.0000000000000005E-2</v>
      </c>
      <c r="F105" s="233" t="e">
        <f t="shared" si="18"/>
        <v>#REF!</v>
      </c>
      <c r="H105" s="195"/>
      <c r="I105" s="233" t="e">
        <f>#REF!</f>
        <v>#REF!</v>
      </c>
      <c r="J105" s="233" t="e">
        <f>F105</f>
        <v>#REF!</v>
      </c>
    </row>
    <row r="106" spans="2:10" ht="12.4" hidden="1" customHeight="1">
      <c r="B106" s="152" t="s">
        <v>138</v>
      </c>
      <c r="C106" s="233">
        <f>C97</f>
        <v>0.1</v>
      </c>
      <c r="D106" s="258" t="e">
        <f>+(#REF!*(1+D$105))/($C106-D$105)/#REF!</f>
        <v>#REF!</v>
      </c>
      <c r="E106" s="259" t="e">
        <f>+(#REF!*(1+E$105))/($C106-E$105)/#REF!</f>
        <v>#REF!</v>
      </c>
      <c r="F106" s="260" t="e">
        <f>+(#REF!*(1+F$105))/($C106-F$105)/#REF!</f>
        <v>#REF!</v>
      </c>
      <c r="H106" s="233">
        <f>C106</f>
        <v>0.1</v>
      </c>
      <c r="I106" s="246" t="str">
        <f t="shared" ref="I106:J110" si="19">IFERROR(I97/$D$8,"na")</f>
        <v>na</v>
      </c>
      <c r="J106" s="247" t="str">
        <f t="shared" si="19"/>
        <v>na</v>
      </c>
    </row>
    <row r="107" spans="2:10" ht="12.4" hidden="1" customHeight="1">
      <c r="C107" s="233">
        <f t="shared" ref="C107:C110" si="20">C98</f>
        <v>0.125</v>
      </c>
      <c r="D107" s="261" t="e">
        <f>+(#REF!*(1+D$105))/($C107-D$105)/#REF!</f>
        <v>#REF!</v>
      </c>
      <c r="E107" s="262" t="e">
        <f>+(#REF!*(1+E$105))/($C107-E$105)/#REF!</f>
        <v>#REF!</v>
      </c>
      <c r="F107" s="263" t="e">
        <f>+(#REF!*(1+F$105))/($C107-F$105)/#REF!</f>
        <v>#REF!</v>
      </c>
      <c r="H107" s="233">
        <f t="shared" ref="H107:H110" si="21">C107</f>
        <v>0.125</v>
      </c>
      <c r="I107" s="251" t="str">
        <f t="shared" si="19"/>
        <v>na</v>
      </c>
      <c r="J107" s="252" t="str">
        <f t="shared" si="19"/>
        <v>na</v>
      </c>
    </row>
    <row r="108" spans="2:10" ht="12.4" hidden="1" customHeight="1">
      <c r="B108" s="152" t="s">
        <v>139</v>
      </c>
      <c r="C108" s="175">
        <v>0.15</v>
      </c>
      <c r="D108" s="261" t="e">
        <f>+(#REF!*(1+D$105))/($C108-D$105)/#REF!</f>
        <v>#REF!</v>
      </c>
      <c r="E108" s="262" t="e">
        <f>+(#REF!*(1+E$105))/($C108-E$105)/#REF!</f>
        <v>#REF!</v>
      </c>
      <c r="F108" s="263" t="e">
        <f>+(#REF!*(1+F$105))/($C108-F$105)/#REF!</f>
        <v>#REF!</v>
      </c>
      <c r="H108" s="175">
        <v>0.15</v>
      </c>
      <c r="I108" s="251" t="str">
        <f t="shared" si="19"/>
        <v>na</v>
      </c>
      <c r="J108" s="252" t="str">
        <f t="shared" si="19"/>
        <v>na</v>
      </c>
    </row>
    <row r="109" spans="2:10" ht="12.4" hidden="1" customHeight="1">
      <c r="C109" s="233">
        <f t="shared" si="20"/>
        <v>0.17499999999999999</v>
      </c>
      <c r="D109" s="261" t="e">
        <f>+(#REF!*(1+D$105))/($C109-D$105)/#REF!</f>
        <v>#REF!</v>
      </c>
      <c r="E109" s="262" t="e">
        <f>+(#REF!*(1+E$105))/($C109-E$105)/#REF!</f>
        <v>#REF!</v>
      </c>
      <c r="F109" s="263" t="e">
        <f>+(#REF!*(1+F$105))/($C109-F$105)/#REF!</f>
        <v>#REF!</v>
      </c>
      <c r="H109" s="233">
        <f t="shared" si="21"/>
        <v>0.17499999999999999</v>
      </c>
      <c r="I109" s="251" t="str">
        <f t="shared" si="19"/>
        <v>na</v>
      </c>
      <c r="J109" s="252" t="str">
        <f t="shared" si="19"/>
        <v>na</v>
      </c>
    </row>
    <row r="110" spans="2:10" ht="12.4" hidden="1" customHeight="1">
      <c r="B110" s="152" t="s">
        <v>140</v>
      </c>
      <c r="C110" s="233">
        <f t="shared" si="20"/>
        <v>0.19999999999999998</v>
      </c>
      <c r="D110" s="264" t="e">
        <f>+(#REF!*(1+D$105))/($C110-D$105)/#REF!</f>
        <v>#REF!</v>
      </c>
      <c r="E110" s="265" t="e">
        <f>+(#REF!*(1+E$105))/($C110-E$105)/#REF!</f>
        <v>#REF!</v>
      </c>
      <c r="F110" s="266" t="e">
        <f>+(#REF!*(1+F$105))/($C110-F$105)/#REF!</f>
        <v>#REF!</v>
      </c>
      <c r="H110" s="233">
        <f t="shared" si="21"/>
        <v>0.19999999999999998</v>
      </c>
      <c r="I110" s="256" t="str">
        <f t="shared" si="19"/>
        <v>na</v>
      </c>
      <c r="J110" s="257" t="str">
        <f t="shared" si="19"/>
        <v>na</v>
      </c>
    </row>
  </sheetData>
  <mergeCells count="2">
    <mergeCell ref="J23:J27"/>
    <mergeCell ref="J32:J36"/>
  </mergeCells>
  <dataValidations count="1">
    <dataValidation type="list" allowBlank="1" showInputMessage="1" showErrorMessage="1" sqref="D18" xr:uid="{21F177DC-C7C9-49AF-8C00-5354F4D305F1}">
      <formula1>"0,1"</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F5C7E-F6E6-4317-A8EB-5624E1F67204}">
  <dimension ref="A1:AE62"/>
  <sheetViews>
    <sheetView workbookViewId="0">
      <selection activeCell="J22" sqref="J22"/>
    </sheetView>
  </sheetViews>
  <sheetFormatPr defaultColWidth="8.75" defaultRowHeight="15.75"/>
  <cols>
    <col min="1" max="1" width="4.75" style="152" customWidth="1"/>
    <col min="2" max="2" width="13.375" customWidth="1"/>
    <col min="3" max="3" width="9.25" customWidth="1"/>
    <col min="4" max="4" width="13.75" customWidth="1"/>
    <col min="5" max="5" width="9.25" customWidth="1"/>
    <col min="7" max="7" width="27.25" bestFit="1" customWidth="1"/>
    <col min="8" max="8" width="13.125" customWidth="1"/>
    <col min="9" max="11" width="7.125" customWidth="1"/>
    <col min="12" max="12" width="14.25" customWidth="1"/>
    <col min="14" max="14" width="27.25" customWidth="1"/>
    <col min="15" max="19" width="7.125" customWidth="1"/>
  </cols>
  <sheetData>
    <row r="1" spans="1:31" s="151" customFormat="1" ht="21.4" customHeight="1">
      <c r="A1"/>
      <c r="B1" s="153" t="s">
        <v>145</v>
      </c>
      <c r="C1" s="154"/>
      <c r="D1" s="155"/>
      <c r="E1" s="155"/>
      <c r="F1" s="155"/>
      <c r="G1" s="155"/>
      <c r="H1" s="155"/>
      <c r="I1" s="155"/>
      <c r="J1" s="155"/>
      <c r="K1" s="155"/>
      <c r="L1" s="155"/>
      <c r="M1" s="155"/>
      <c r="N1" s="156"/>
      <c r="O1" s="157"/>
      <c r="P1" s="158"/>
      <c r="Q1" s="157"/>
      <c r="R1" s="157"/>
      <c r="S1" s="157"/>
      <c r="T1" s="157"/>
      <c r="U1" s="157"/>
      <c r="V1" s="157"/>
      <c r="W1" s="157"/>
      <c r="X1" s="156"/>
      <c r="Y1" s="150"/>
      <c r="AC1"/>
      <c r="AD1"/>
      <c r="AE1"/>
    </row>
    <row r="4" spans="1:31" ht="16.350000000000001" customHeight="1">
      <c r="B4" s="267" t="s">
        <v>146</v>
      </c>
      <c r="C4" s="268"/>
      <c r="D4" s="268"/>
      <c r="E4" s="268"/>
      <c r="G4" s="267" t="str">
        <f>TEXT("Valuation Forecasts (EURm)",0)&amp;" - "&amp;[2]Assumptions!C5</f>
        <v>Valuation Forecasts (EURm) - Management Case</v>
      </c>
      <c r="H4" s="93"/>
      <c r="I4" s="93"/>
      <c r="J4" s="93"/>
      <c r="K4" s="93"/>
      <c r="L4" s="93"/>
      <c r="N4" s="269"/>
    </row>
    <row r="5" spans="1:31" ht="16.350000000000001" customHeight="1">
      <c r="B5" s="269"/>
      <c r="C5" s="270"/>
      <c r="D5" s="270"/>
      <c r="E5" s="270"/>
      <c r="G5" s="269"/>
      <c r="N5" s="269"/>
    </row>
    <row r="6" spans="1:31" ht="16.350000000000001" customHeight="1">
      <c r="B6" s="269" t="s">
        <v>147</v>
      </c>
      <c r="C6" s="270"/>
      <c r="D6" s="270"/>
      <c r="E6" s="270"/>
      <c r="G6" s="271" t="s">
        <v>148</v>
      </c>
      <c r="N6" s="271"/>
    </row>
    <row r="7" spans="1:31" ht="17.25">
      <c r="B7" s="272" t="s">
        <v>149</v>
      </c>
      <c r="C7" s="272">
        <v>2022</v>
      </c>
      <c r="D7" s="272">
        <f>C7+1</f>
        <v>2023</v>
      </c>
      <c r="E7" s="272">
        <f t="shared" ref="E7" si="0">D7+1</f>
        <v>2024</v>
      </c>
      <c r="G7" s="272" t="s">
        <v>150</v>
      </c>
      <c r="H7" s="273" t="s">
        <v>151</v>
      </c>
      <c r="I7" s="273" t="s">
        <v>152</v>
      </c>
      <c r="J7" s="274" t="s">
        <v>153</v>
      </c>
      <c r="K7" s="273" t="s">
        <v>154</v>
      </c>
      <c r="L7" s="273" t="s">
        <v>155</v>
      </c>
      <c r="N7" s="275"/>
      <c r="O7" s="276"/>
      <c r="P7" s="276"/>
      <c r="Q7" s="276"/>
      <c r="R7" s="276"/>
      <c r="S7" s="276"/>
    </row>
    <row r="8" spans="1:31" ht="15" customHeight="1">
      <c r="B8" t="s">
        <v>156</v>
      </c>
      <c r="C8" s="277">
        <f>'Valuation - DCF'!F21</f>
        <v>0</v>
      </c>
      <c r="D8" s="277">
        <f>'Valuation - DCF'!G21</f>
        <v>5971884.287769448</v>
      </c>
      <c r="E8" s="277">
        <f>'Valuation - DCF'!H21</f>
        <v>0</v>
      </c>
      <c r="G8" t="s">
        <v>157</v>
      </c>
      <c r="H8" s="278">
        <f>+D8</f>
        <v>5971884.287769448</v>
      </c>
      <c r="I8" s="279">
        <f>+H21</f>
        <v>100</v>
      </c>
      <c r="J8" s="280">
        <v>0</v>
      </c>
      <c r="K8" s="279">
        <f>I8*(1-J8)</f>
        <v>100</v>
      </c>
      <c r="L8" s="281">
        <f>IF(PRODUCT(H8,K8)&lt;0,"n.m.",H8*K8)</f>
        <v>597188428.77694476</v>
      </c>
      <c r="O8" s="278"/>
      <c r="P8" s="279"/>
      <c r="Q8" s="282"/>
      <c r="R8" s="279"/>
      <c r="S8" s="281"/>
    </row>
    <row r="9" spans="1:31" ht="15" customHeight="1">
      <c r="B9" t="s">
        <v>29</v>
      </c>
      <c r="C9" s="277">
        <f>'Valuation - DCF'!F24</f>
        <v>0</v>
      </c>
      <c r="D9" s="277">
        <f>'Valuation - DCF'!G24</f>
        <v>3916475.077769448</v>
      </c>
      <c r="E9" s="277">
        <f>'Valuation - DCF'!H24</f>
        <v>0</v>
      </c>
      <c r="G9" t="s">
        <v>158</v>
      </c>
      <c r="H9" s="278">
        <f>+D9</f>
        <v>3916475.077769448</v>
      </c>
      <c r="I9" s="279">
        <f>+H22</f>
        <v>10.985314910347128</v>
      </c>
      <c r="J9" s="280">
        <v>0</v>
      </c>
      <c r="K9" s="279">
        <f>I9*(1-J9)</f>
        <v>10.985314910347128</v>
      </c>
      <c r="L9" s="281">
        <f>IF(PRODUCT(H9,K9)&lt;0,"n.m.",H9*K9)</f>
        <v>43023712.067823648</v>
      </c>
      <c r="O9" s="278"/>
      <c r="P9" s="279"/>
      <c r="Q9" s="282"/>
      <c r="R9" s="279"/>
      <c r="S9" s="281"/>
    </row>
    <row r="10" spans="1:31" ht="15" customHeight="1">
      <c r="B10" t="s">
        <v>34</v>
      </c>
      <c r="C10" s="277">
        <f>'Valuation - DCF'!F31</f>
        <v>0</v>
      </c>
      <c r="D10" s="277">
        <f>'Valuation - DCF'!G31</f>
        <v>132519.04416944738</v>
      </c>
      <c r="E10" s="277">
        <f>'Valuation - DCF'!H31</f>
        <v>0</v>
      </c>
      <c r="G10" t="s">
        <v>159</v>
      </c>
      <c r="H10" s="278">
        <f>+D10</f>
        <v>132519.04416944738</v>
      </c>
      <c r="I10" s="279">
        <f>+H23</f>
        <v>20.542607056407473</v>
      </c>
      <c r="J10" s="280">
        <v>0</v>
      </c>
      <c r="K10" s="279">
        <f t="shared" ref="K10" si="1">I10*(1-J10)</f>
        <v>20.542607056407473</v>
      </c>
      <c r="L10" s="281">
        <f>IF(PRODUCT(H10,K10)&lt;0,"n.m.",H10*K10)</f>
        <v>2722286.6518636635</v>
      </c>
      <c r="O10" s="278"/>
      <c r="P10" s="279"/>
      <c r="Q10" s="282"/>
      <c r="R10" s="279"/>
      <c r="S10" s="281"/>
    </row>
    <row r="11" spans="1:31">
      <c r="H11" s="283"/>
      <c r="I11" s="279"/>
      <c r="J11" s="279"/>
      <c r="K11" s="279"/>
      <c r="L11" s="284"/>
      <c r="O11" s="283"/>
      <c r="P11" s="279"/>
      <c r="Q11" s="279"/>
      <c r="R11" s="279"/>
      <c r="S11" s="284"/>
    </row>
    <row r="12" spans="1:31">
      <c r="G12" s="271" t="s">
        <v>160</v>
      </c>
      <c r="N12" s="271"/>
    </row>
    <row r="13" spans="1:31" ht="15" customHeight="1">
      <c r="B13" s="272" t="s">
        <v>161</v>
      </c>
      <c r="C13" s="272">
        <v>2022</v>
      </c>
      <c r="D13" s="272">
        <f>C13+1</f>
        <v>2023</v>
      </c>
      <c r="E13" s="272">
        <f t="shared" ref="E13" si="2">D13+1</f>
        <v>2024</v>
      </c>
      <c r="G13" s="272" t="s">
        <v>150</v>
      </c>
      <c r="H13" s="273" t="s">
        <v>151</v>
      </c>
      <c r="I13" s="273" t="s">
        <v>152</v>
      </c>
      <c r="J13" s="274" t="s">
        <v>153</v>
      </c>
      <c r="K13" s="273" t="s">
        <v>154</v>
      </c>
      <c r="L13" s="273" t="s">
        <v>155</v>
      </c>
      <c r="N13" s="275"/>
      <c r="O13" s="276"/>
      <c r="P13" s="276"/>
      <c r="Q13" s="276"/>
      <c r="R13" s="276"/>
      <c r="S13" s="276"/>
    </row>
    <row r="14" spans="1:31" ht="15" customHeight="1">
      <c r="B14" t="s">
        <v>156</v>
      </c>
      <c r="C14" s="285" t="s">
        <v>162</v>
      </c>
      <c r="D14" s="311" t="e">
        <f>D8/C8-1</f>
        <v>#DIV/0!</v>
      </c>
      <c r="E14" s="311">
        <f>E8/D8-1</f>
        <v>-1</v>
      </c>
      <c r="G14" t="s">
        <v>157</v>
      </c>
      <c r="H14" s="278">
        <f>E8</f>
        <v>0</v>
      </c>
      <c r="I14" s="279">
        <f>+J21</f>
        <v>3.9804369486637876</v>
      </c>
      <c r="J14" s="280">
        <v>0</v>
      </c>
      <c r="K14" s="279">
        <f>I14*(1-J14)</f>
        <v>3.9804369486637876</v>
      </c>
      <c r="L14" s="281">
        <f>IF(PRODUCT(H14,K14)&lt;0,"n.m.",H14*K14)</f>
        <v>0</v>
      </c>
      <c r="O14" s="278"/>
      <c r="P14" s="279"/>
      <c r="Q14" s="282"/>
      <c r="R14" s="279"/>
      <c r="S14" s="281"/>
    </row>
    <row r="15" spans="1:31" ht="15" customHeight="1">
      <c r="B15" t="s">
        <v>29</v>
      </c>
      <c r="C15" s="310" t="s">
        <v>162</v>
      </c>
      <c r="D15" s="311" t="e">
        <f t="shared" ref="D15:E15" si="3">D9/C9-1</f>
        <v>#DIV/0!</v>
      </c>
      <c r="E15" s="311">
        <f t="shared" si="3"/>
        <v>-1</v>
      </c>
      <c r="G15" t="s">
        <v>158</v>
      </c>
      <c r="H15" s="278">
        <f>E9</f>
        <v>0</v>
      </c>
      <c r="I15" s="279">
        <f>+J22</f>
        <v>7.7888591526082829</v>
      </c>
      <c r="J15" s="280">
        <v>0</v>
      </c>
      <c r="K15" s="279">
        <f>I15*(1-J15)</f>
        <v>7.7888591526082829</v>
      </c>
      <c r="L15" s="281">
        <f>IF(PRODUCT(H15,K15)&lt;0,"n.m.",H15*K15)</f>
        <v>0</v>
      </c>
      <c r="O15" s="278"/>
      <c r="P15" s="279"/>
      <c r="Q15" s="282"/>
      <c r="R15" s="279"/>
      <c r="S15" s="281"/>
    </row>
    <row r="16" spans="1:31">
      <c r="B16" t="s">
        <v>34</v>
      </c>
      <c r="C16" s="285" t="s">
        <v>162</v>
      </c>
      <c r="D16" s="311" t="e">
        <f t="shared" ref="D16:E16" si="4">D10/C10-1</f>
        <v>#DIV/0!</v>
      </c>
      <c r="E16" s="311">
        <f t="shared" si="4"/>
        <v>-1</v>
      </c>
      <c r="G16" t="s">
        <v>159</v>
      </c>
      <c r="H16" s="278">
        <f>E10</f>
        <v>0</v>
      </c>
      <c r="I16" s="279">
        <f>+J23</f>
        <v>14.029555872885993</v>
      </c>
      <c r="J16" s="280">
        <v>0</v>
      </c>
      <c r="K16" s="279">
        <f t="shared" ref="K16" si="5">I16*(1-J16)</f>
        <v>14.029555872885993</v>
      </c>
      <c r="L16" s="281">
        <f>IF(PRODUCT(H16,K16)&lt;0,"n.m.",H16*K16)</f>
        <v>0</v>
      </c>
      <c r="O16" s="278"/>
      <c r="P16" s="279"/>
      <c r="Q16" s="282"/>
      <c r="R16" s="279"/>
      <c r="S16" s="281"/>
    </row>
    <row r="17" spans="2:19" ht="17.25">
      <c r="C17" s="270"/>
      <c r="D17" s="270"/>
      <c r="E17" s="270"/>
    </row>
    <row r="18" spans="2:19" ht="17.25">
      <c r="B18" s="269"/>
      <c r="C18" s="270"/>
      <c r="D18" s="270"/>
      <c r="E18" s="270"/>
      <c r="G18" s="287" t="s">
        <v>163</v>
      </c>
      <c r="H18" s="93"/>
      <c r="I18" s="93"/>
      <c r="J18" s="93"/>
      <c r="K18" s="93"/>
      <c r="L18" s="281"/>
      <c r="O18" s="278"/>
      <c r="P18" s="279"/>
      <c r="Q18" s="282"/>
      <c r="R18" s="279"/>
      <c r="S18" s="281"/>
    </row>
    <row r="19" spans="2:19" ht="18">
      <c r="B19" s="275"/>
      <c r="C19" s="275"/>
      <c r="D19" s="275"/>
      <c r="E19" s="275"/>
      <c r="H19" s="288" t="s">
        <v>164</v>
      </c>
      <c r="I19" s="289"/>
      <c r="J19" s="288" t="s">
        <v>165</v>
      </c>
      <c r="K19" s="289"/>
    </row>
    <row r="20" spans="2:19" ht="15" customHeight="1">
      <c r="B20" s="290" t="s">
        <v>166</v>
      </c>
      <c r="C20" s="291"/>
      <c r="D20" s="291"/>
      <c r="E20" s="291"/>
      <c r="G20" s="272" t="s">
        <v>150</v>
      </c>
      <c r="H20" s="274" t="s">
        <v>167</v>
      </c>
      <c r="I20" s="274" t="s">
        <v>168</v>
      </c>
      <c r="J20" s="274" t="s">
        <v>167</v>
      </c>
      <c r="K20" s="274" t="s">
        <v>168</v>
      </c>
    </row>
    <row r="21" spans="2:19" ht="15" customHeight="1">
      <c r="B21" s="292" t="s">
        <v>169</v>
      </c>
      <c r="C21" s="293"/>
      <c r="D21" s="293"/>
      <c r="E21" s="293"/>
      <c r="G21" t="s">
        <v>157</v>
      </c>
      <c r="H21" s="294">
        <f>AVERAGE(H27)</f>
        <v>100</v>
      </c>
      <c r="I21" s="294">
        <f>MEDIAN(H27)</f>
        <v>100</v>
      </c>
      <c r="J21" s="294">
        <f>'[2]Trading Comps'!H232</f>
        <v>3.9804369486637876</v>
      </c>
      <c r="K21" s="294">
        <f>'[2]Trading Comps'!H233</f>
        <v>2.7182883160139881</v>
      </c>
    </row>
    <row r="22" spans="2:19" ht="15" customHeight="1">
      <c r="B22" s="292" t="s">
        <v>170</v>
      </c>
      <c r="C22" s="293"/>
      <c r="D22" s="293"/>
      <c r="E22" s="293"/>
      <c r="G22" t="s">
        <v>158</v>
      </c>
      <c r="H22" s="294">
        <f>'[2]Trading Comps'!I232</f>
        <v>10.985314910347128</v>
      </c>
      <c r="I22" s="294">
        <f>'[2]Trading Comps'!I233</f>
        <v>7.682742332876896</v>
      </c>
      <c r="J22" s="294">
        <f>'[2]Trading Comps'!J232</f>
        <v>7.7888591526082829</v>
      </c>
      <c r="K22" s="294">
        <f>'[2]Trading Comps'!J233</f>
        <v>6.0947771295780591</v>
      </c>
    </row>
    <row r="23" spans="2:19">
      <c r="G23" t="s">
        <v>159</v>
      </c>
      <c r="H23" s="294">
        <f>'[2]Trading Comps'!K232</f>
        <v>20.542607056407473</v>
      </c>
      <c r="I23" s="294">
        <f>'[2]Trading Comps'!K233</f>
        <v>15.049252908278422</v>
      </c>
      <c r="J23" s="294">
        <f>'[2]Trading Comps'!L232</f>
        <v>14.029555872885993</v>
      </c>
      <c r="K23" s="294">
        <f>'[2]Trading Comps'!L233</f>
        <v>11.506255509581568</v>
      </c>
      <c r="O23" s="293"/>
      <c r="P23" s="293"/>
      <c r="Q23" s="293"/>
      <c r="R23" s="293"/>
    </row>
    <row r="25" spans="2:19" ht="18">
      <c r="B25" s="275"/>
      <c r="C25" s="275"/>
      <c r="D25" s="275"/>
      <c r="E25" s="275"/>
      <c r="H25" s="288" t="s">
        <v>164</v>
      </c>
      <c r="I25" s="289" t="s">
        <v>165</v>
      </c>
    </row>
    <row r="26" spans="2:19">
      <c r="B26" s="275"/>
      <c r="C26" s="275"/>
      <c r="D26" s="275"/>
      <c r="E26" s="275"/>
      <c r="G26" s="272" t="s">
        <v>150</v>
      </c>
      <c r="H26" s="274" t="s">
        <v>171</v>
      </c>
      <c r="I26" s="274"/>
    </row>
    <row r="27" spans="2:19">
      <c r="C27" s="286"/>
      <c r="D27" s="286"/>
      <c r="E27" s="286"/>
      <c r="G27" t="s">
        <v>157</v>
      </c>
      <c r="H27" s="312">
        <v>100</v>
      </c>
      <c r="I27" s="312"/>
    </row>
    <row r="28" spans="2:19">
      <c r="C28" s="286"/>
      <c r="D28" s="286"/>
      <c r="E28" s="286"/>
      <c r="G28" t="s">
        <v>158</v>
      </c>
      <c r="H28" s="312"/>
      <c r="I28" s="312"/>
    </row>
    <row r="29" spans="2:19">
      <c r="C29" s="286"/>
      <c r="D29" s="286"/>
      <c r="E29" s="286"/>
      <c r="G29" t="s">
        <v>159</v>
      </c>
      <c r="H29" s="312"/>
      <c r="I29" s="312"/>
    </row>
    <row r="54" spans="1:1">
      <c r="A54" s="152" t="s">
        <v>172</v>
      </c>
    </row>
    <row r="62" spans="1:1">
      <c r="A62" s="152" t="s">
        <v>172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8CA02-A232-49B5-97B8-69FD487A2593}">
  <dimension ref="A1:E24"/>
  <sheetViews>
    <sheetView workbookViewId="0">
      <selection activeCell="B17" sqref="B17"/>
    </sheetView>
  </sheetViews>
  <sheetFormatPr defaultColWidth="8.75" defaultRowHeight="15.75"/>
  <cols>
    <col min="1" max="2" width="17.375" customWidth="1"/>
  </cols>
  <sheetData>
    <row r="1" spans="1:5">
      <c r="A1" s="313" t="s">
        <v>173</v>
      </c>
      <c r="B1" s="313"/>
      <c r="D1" s="6" t="s">
        <v>174</v>
      </c>
    </row>
    <row r="2" spans="1:5">
      <c r="A2" s="314" t="s">
        <v>175</v>
      </c>
      <c r="B2" s="314"/>
    </row>
    <row r="3" spans="1:5">
      <c r="A3" s="315" t="s">
        <v>176</v>
      </c>
      <c r="B3" s="315"/>
    </row>
    <row r="4" spans="1:5">
      <c r="A4" s="315" t="s">
        <v>177</v>
      </c>
      <c r="B4" s="315"/>
    </row>
    <row r="5" spans="1:5">
      <c r="A5" s="314" t="s">
        <v>178</v>
      </c>
      <c r="B5" s="314"/>
    </row>
    <row r="6" spans="1:5">
      <c r="A6" s="315" t="s">
        <v>179</v>
      </c>
      <c r="B6" s="315"/>
    </row>
    <row r="7" spans="1:5">
      <c r="A7" s="315"/>
      <c r="B7" s="315"/>
    </row>
    <row r="8" spans="1:5">
      <c r="A8" s="6" t="s">
        <v>180</v>
      </c>
      <c r="B8" s="6"/>
    </row>
    <row r="10" spans="1:5">
      <c r="A10" s="313" t="s">
        <v>181</v>
      </c>
      <c r="B10" s="313"/>
    </row>
    <row r="11" spans="1:5">
      <c r="A11" s="314"/>
      <c r="B11" s="314"/>
    </row>
    <row r="12" spans="1:5">
      <c r="A12" s="314"/>
      <c r="B12" s="314"/>
    </row>
    <row r="13" spans="1:5">
      <c r="A13" s="314"/>
      <c r="B13" s="314"/>
    </row>
    <row r="14" spans="1:5">
      <c r="A14" s="314"/>
      <c r="B14" s="314"/>
    </row>
    <row r="15" spans="1:5">
      <c r="A15" s="6" t="s">
        <v>180</v>
      </c>
      <c r="B15" s="6"/>
      <c r="E15" s="314" t="s">
        <v>182</v>
      </c>
    </row>
    <row r="17" spans="1:2">
      <c r="A17" s="313" t="s">
        <v>183</v>
      </c>
      <c r="B17" s="313"/>
    </row>
    <row r="18" spans="1:2">
      <c r="A18" t="s">
        <v>184</v>
      </c>
      <c r="B18" s="313"/>
    </row>
    <row r="19" spans="1:2">
      <c r="A19" s="316">
        <v>100000</v>
      </c>
      <c r="B19">
        <f t="shared" ref="B19:B24" si="0">($B$8-$B$15)*A19</f>
        <v>0</v>
      </c>
    </row>
    <row r="20" spans="1:2">
      <c r="A20" s="316">
        <v>150000</v>
      </c>
      <c r="B20">
        <f t="shared" si="0"/>
        <v>0</v>
      </c>
    </row>
    <row r="21" spans="1:2">
      <c r="A21" s="316">
        <v>500000</v>
      </c>
      <c r="B21">
        <f t="shared" si="0"/>
        <v>0</v>
      </c>
    </row>
    <row r="22" spans="1:2">
      <c r="A22" s="316">
        <v>1000000</v>
      </c>
      <c r="B22">
        <f t="shared" si="0"/>
        <v>0</v>
      </c>
    </row>
    <row r="23" spans="1:2">
      <c r="A23" s="316">
        <v>5000000</v>
      </c>
      <c r="B23">
        <f t="shared" si="0"/>
        <v>0</v>
      </c>
    </row>
    <row r="24" spans="1:2">
      <c r="A24" s="316">
        <v>25000000</v>
      </c>
      <c r="B24">
        <f t="shared" si="0"/>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3937E-CF3A-704F-8D72-E8E40B3EAC5C}">
  <sheetPr>
    <tabColor rgb="FF7030A0"/>
  </sheetPr>
  <dimension ref="A1:F7"/>
  <sheetViews>
    <sheetView showGridLines="0" workbookViewId="0">
      <selection activeCell="E14" sqref="E14"/>
    </sheetView>
  </sheetViews>
  <sheetFormatPr defaultColWidth="10.75" defaultRowHeight="15.75"/>
  <cols>
    <col min="1" max="16384" width="10.75" style="59"/>
  </cols>
  <sheetData>
    <row r="1" spans="1:6">
      <c r="A1" s="498" t="s">
        <v>185</v>
      </c>
      <c r="B1" s="498"/>
      <c r="C1" s="498"/>
      <c r="D1" s="498"/>
      <c r="E1" s="498"/>
      <c r="F1" s="498"/>
    </row>
    <row r="2" spans="1:6" ht="16.149999999999999" customHeight="1">
      <c r="A2" s="498"/>
      <c r="B2" s="498"/>
      <c r="C2" s="498"/>
      <c r="D2" s="498"/>
      <c r="E2" s="498"/>
      <c r="F2" s="498"/>
    </row>
    <row r="3" spans="1:6" ht="16.149999999999999" customHeight="1">
      <c r="A3" s="498"/>
      <c r="B3" s="498"/>
      <c r="C3" s="498"/>
      <c r="D3" s="498"/>
      <c r="E3" s="498"/>
      <c r="F3" s="498"/>
    </row>
    <row r="4" spans="1:6" ht="16.149999999999999" customHeight="1">
      <c r="A4" s="498"/>
      <c r="B4" s="498"/>
      <c r="C4" s="498"/>
      <c r="D4" s="498"/>
      <c r="E4" s="498"/>
      <c r="F4" s="498"/>
    </row>
    <row r="5" spans="1:6" ht="16.149999999999999" customHeight="1">
      <c r="A5" s="498"/>
      <c r="B5" s="498"/>
      <c r="C5" s="498"/>
      <c r="D5" s="498"/>
      <c r="E5" s="498"/>
      <c r="F5" s="498"/>
    </row>
    <row r="6" spans="1:6" ht="16.149999999999999" customHeight="1">
      <c r="A6" s="498"/>
      <c r="B6" s="498"/>
      <c r="C6" s="498"/>
      <c r="D6" s="498"/>
      <c r="E6" s="498"/>
      <c r="F6" s="498"/>
    </row>
    <row r="7" spans="1:6" ht="16.149999999999999" customHeight="1">
      <c r="A7" s="498"/>
      <c r="B7" s="498"/>
      <c r="C7" s="498"/>
      <c r="D7" s="498"/>
      <c r="E7" s="498"/>
      <c r="F7" s="498"/>
    </row>
  </sheetData>
  <mergeCells count="1">
    <mergeCell ref="A1:F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EF0ED-5BBE-B449-9C47-0AE2387FE0E0}">
  <dimension ref="A1:D14"/>
  <sheetViews>
    <sheetView showGridLines="0" zoomScale="70" zoomScaleNormal="70" workbookViewId="0">
      <selection activeCell="M32" sqref="M32"/>
    </sheetView>
  </sheetViews>
  <sheetFormatPr defaultColWidth="11" defaultRowHeight="15.75"/>
  <cols>
    <col min="1" max="1" width="46.125" bestFit="1" customWidth="1"/>
    <col min="2" max="2" width="17.375" customWidth="1"/>
    <col min="3" max="3" width="94.75" customWidth="1"/>
    <col min="4" max="4" width="65.75" bestFit="1" customWidth="1"/>
  </cols>
  <sheetData>
    <row r="1" spans="1:4">
      <c r="A1" s="324" t="s">
        <v>186</v>
      </c>
      <c r="B1" s="324" t="s">
        <v>1</v>
      </c>
      <c r="C1" s="324" t="s">
        <v>187</v>
      </c>
      <c r="D1" s="324" t="s">
        <v>188</v>
      </c>
    </row>
    <row r="2" spans="1:4" ht="47.25">
      <c r="A2" s="338" t="s">
        <v>21</v>
      </c>
      <c r="B2" s="411">
        <v>24.99</v>
      </c>
      <c r="C2" s="318" t="s">
        <v>189</v>
      </c>
      <c r="D2" s="351" t="s">
        <v>190</v>
      </c>
    </row>
    <row r="3" spans="1:4" ht="47.25" hidden="1">
      <c r="A3" s="325" t="s">
        <v>191</v>
      </c>
      <c r="B3" s="333">
        <f>Dashboard!B5</f>
        <v>0</v>
      </c>
      <c r="C3" s="318" t="s">
        <v>192</v>
      </c>
      <c r="D3" s="322" t="s">
        <v>193</v>
      </c>
    </row>
    <row r="4" spans="1:4" ht="31.5">
      <c r="A4" s="325" t="s">
        <v>3</v>
      </c>
      <c r="B4" s="333">
        <f>Dashboard!$B$6</f>
        <v>0</v>
      </c>
      <c r="C4" s="318" t="s">
        <v>194</v>
      </c>
      <c r="D4" s="322" t="s">
        <v>195</v>
      </c>
    </row>
    <row r="5" spans="1:4" ht="51" customHeight="1">
      <c r="A5" s="325" t="s">
        <v>22</v>
      </c>
      <c r="B5" s="404">
        <f>Dashboard!$B$7</f>
        <v>8.7500000000000008E-3</v>
      </c>
      <c r="C5" s="318" t="s">
        <v>196</v>
      </c>
      <c r="D5" s="322" t="s">
        <v>197</v>
      </c>
    </row>
    <row r="6" spans="1:4">
      <c r="A6" s="325" t="s">
        <v>198</v>
      </c>
      <c r="B6" s="333">
        <f>Dashboard!$B$10</f>
        <v>2E-3</v>
      </c>
      <c r="C6" s="318" t="s">
        <v>199</v>
      </c>
      <c r="D6" s="322" t="s">
        <v>200</v>
      </c>
    </row>
    <row r="7" spans="1:4" ht="78.75">
      <c r="A7" s="325" t="s">
        <v>45</v>
      </c>
      <c r="B7" s="333">
        <f>Dashboard!$B$9</f>
        <v>0.01</v>
      </c>
      <c r="C7" s="318" t="s">
        <v>201</v>
      </c>
      <c r="D7" s="322" t="s">
        <v>202</v>
      </c>
    </row>
    <row r="8" spans="1:4" ht="31.5" hidden="1">
      <c r="A8" s="325" t="s">
        <v>23</v>
      </c>
      <c r="B8" s="335">
        <v>0</v>
      </c>
      <c r="C8" s="318" t="s">
        <v>203</v>
      </c>
      <c r="D8" s="322" t="s">
        <v>204</v>
      </c>
    </row>
    <row r="9" spans="1:4">
      <c r="A9" s="325" t="s">
        <v>9</v>
      </c>
      <c r="B9" s="336">
        <f>Dashboard!$B$11</f>
        <v>9.99</v>
      </c>
      <c r="C9" s="322" t="s">
        <v>205</v>
      </c>
      <c r="D9" s="322" t="s">
        <v>206</v>
      </c>
    </row>
    <row r="10" spans="1:4">
      <c r="A10" s="410" t="s">
        <v>207</v>
      </c>
      <c r="B10" s="337">
        <v>0.05</v>
      </c>
      <c r="C10" s="322" t="s">
        <v>208</v>
      </c>
      <c r="D10" s="322"/>
    </row>
    <row r="11" spans="1:4" ht="78.75" hidden="1">
      <c r="A11" s="338" t="s">
        <v>10</v>
      </c>
      <c r="B11" s="333">
        <f>Dashboard!$B$12</f>
        <v>0</v>
      </c>
      <c r="C11" s="339" t="s">
        <v>209</v>
      </c>
      <c r="D11" s="334" t="s">
        <v>210</v>
      </c>
    </row>
    <row r="12" spans="1:4">
      <c r="A12" s="408"/>
      <c r="B12" s="405"/>
      <c r="C12" s="406"/>
      <c r="D12" s="406"/>
    </row>
    <row r="13" spans="1:4">
      <c r="A13" s="408"/>
      <c r="B13" s="407"/>
      <c r="C13" s="406"/>
      <c r="D13" s="406"/>
    </row>
    <row r="14" spans="1:4">
      <c r="A14"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3F21E-12AB-4846-8017-547CC71A0453}">
  <dimension ref="A1:D16"/>
  <sheetViews>
    <sheetView showGridLines="0" zoomScale="90" zoomScaleNormal="90" workbookViewId="0">
      <selection activeCell="B13" sqref="B13:B15"/>
    </sheetView>
  </sheetViews>
  <sheetFormatPr defaultColWidth="11" defaultRowHeight="15.75"/>
  <cols>
    <col min="1" max="1" width="46.125" customWidth="1"/>
    <col min="2" max="2" width="17.375" customWidth="1"/>
    <col min="3" max="3" width="78.75" customWidth="1"/>
    <col min="4" max="4" width="65.75" customWidth="1"/>
  </cols>
  <sheetData>
    <row r="1" spans="1:4">
      <c r="A1" s="324" t="s">
        <v>186</v>
      </c>
      <c r="B1" s="324" t="s">
        <v>1</v>
      </c>
      <c r="C1" s="324" t="s">
        <v>187</v>
      </c>
      <c r="D1" s="324" t="s">
        <v>188</v>
      </c>
    </row>
    <row r="2" spans="1:4">
      <c r="A2" s="325" t="s">
        <v>211</v>
      </c>
      <c r="B2" s="326">
        <f>Dashboard!$C$6</f>
        <v>0</v>
      </c>
      <c r="C2" s="326" t="s">
        <v>212</v>
      </c>
      <c r="D2" s="322" t="s">
        <v>213</v>
      </c>
    </row>
    <row r="3" spans="1:4">
      <c r="A3" s="325" t="s">
        <v>22</v>
      </c>
      <c r="B3" s="326">
        <f>Dashboard!$C$7</f>
        <v>0</v>
      </c>
      <c r="C3" s="326" t="s">
        <v>214</v>
      </c>
      <c r="D3" s="322" t="s">
        <v>215</v>
      </c>
    </row>
    <row r="4" spans="1:4">
      <c r="A4" s="325" t="s">
        <v>216</v>
      </c>
      <c r="B4" s="326">
        <f>Dashboard!$C$10</f>
        <v>5.0000000000000001E-4</v>
      </c>
      <c r="C4" s="326" t="s">
        <v>217</v>
      </c>
      <c r="D4" s="322" t="s">
        <v>218</v>
      </c>
    </row>
    <row r="5" spans="1:4">
      <c r="A5" s="325" t="s">
        <v>45</v>
      </c>
      <c r="B5" s="326">
        <f>Dashboard!$C$9</f>
        <v>2E-3</v>
      </c>
      <c r="C5" s="326" t="s">
        <v>219</v>
      </c>
      <c r="D5" s="322" t="s">
        <v>220</v>
      </c>
    </row>
    <row r="6" spans="1:4">
      <c r="A6" s="325" t="s">
        <v>23</v>
      </c>
      <c r="B6" s="327">
        <v>0</v>
      </c>
      <c r="C6" s="327" t="s">
        <v>221</v>
      </c>
      <c r="D6" s="322" t="s">
        <v>222</v>
      </c>
    </row>
    <row r="7" spans="1:4">
      <c r="A7" s="325" t="s">
        <v>9</v>
      </c>
      <c r="B7" s="319"/>
      <c r="C7" s="319"/>
      <c r="D7" s="322" t="s">
        <v>206</v>
      </c>
    </row>
    <row r="8" spans="1:4" ht="30">
      <c r="A8" s="392" t="s">
        <v>223</v>
      </c>
      <c r="B8" s="328">
        <v>0.1</v>
      </c>
      <c r="C8" s="317" t="s">
        <v>224</v>
      </c>
      <c r="D8" s="322" t="s">
        <v>225</v>
      </c>
    </row>
    <row r="9" spans="1:4">
      <c r="A9" s="392" t="s">
        <v>226</v>
      </c>
      <c r="B9" s="319">
        <f>('Revenues'!$C$20+'Revenues'!$C$28+'Revenues'!$C$38+'Revenues'!$C$46+'Revenues'!$C$54)*B8</f>
        <v>0.46300000000000002</v>
      </c>
      <c r="C9" s="319"/>
      <c r="D9" s="322" t="s">
        <v>227</v>
      </c>
    </row>
    <row r="10" spans="1:4">
      <c r="A10" s="393" t="s">
        <v>228</v>
      </c>
      <c r="B10" s="320">
        <v>10</v>
      </c>
      <c r="C10" s="320"/>
      <c r="D10" s="322" t="s">
        <v>229</v>
      </c>
    </row>
    <row r="11" spans="1:4">
      <c r="A11" s="329" t="s">
        <v>230</v>
      </c>
      <c r="B11" s="377">
        <v>0</v>
      </c>
      <c r="C11" s="321" t="s">
        <v>231</v>
      </c>
      <c r="D11" s="322" t="s">
        <v>232</v>
      </c>
    </row>
    <row r="12" spans="1:4">
      <c r="A12" s="330" t="s">
        <v>21</v>
      </c>
      <c r="B12" s="391"/>
      <c r="C12" s="322"/>
      <c r="D12" s="322"/>
    </row>
    <row r="13" spans="1:4">
      <c r="A13" s="331" t="s">
        <v>233</v>
      </c>
      <c r="B13" s="389">
        <f>(1.13+0.33)*2.4+1.65</f>
        <v>5.1539999999999999</v>
      </c>
      <c r="C13" s="323" t="s">
        <v>234</v>
      </c>
      <c r="D13" s="322" t="s">
        <v>235</v>
      </c>
    </row>
    <row r="14" spans="1:4">
      <c r="A14" s="331" t="s">
        <v>236</v>
      </c>
      <c r="B14" s="389">
        <v>2.2000000000000002</v>
      </c>
      <c r="C14" s="323" t="s">
        <v>234</v>
      </c>
      <c r="D14" s="322" t="s">
        <v>237</v>
      </c>
    </row>
    <row r="15" spans="1:4">
      <c r="A15" s="331" t="s">
        <v>238</v>
      </c>
      <c r="B15" s="389">
        <v>5</v>
      </c>
      <c r="C15" s="323" t="s">
        <v>234</v>
      </c>
      <c r="D15" s="322" t="s">
        <v>239</v>
      </c>
    </row>
    <row r="16" spans="1:4">
      <c r="A16" s="332" t="s">
        <v>240</v>
      </c>
      <c r="B16" s="390">
        <v>7.8624132327398205E-2</v>
      </c>
      <c r="C16" s="323" t="s">
        <v>234</v>
      </c>
      <c r="D16" s="322" t="s">
        <v>241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D60E3-2230-EB41-8542-1759713306B9}">
  <sheetPr>
    <tabColor rgb="FF7030A0"/>
  </sheetPr>
  <dimension ref="A1:F7"/>
  <sheetViews>
    <sheetView showGridLines="0" topLeftCell="XED1" workbookViewId="0">
      <selection activeCell="XEG9" sqref="XEG9"/>
    </sheetView>
  </sheetViews>
  <sheetFormatPr defaultColWidth="10.75" defaultRowHeight="15.75"/>
  <cols>
    <col min="1" max="16384" width="10.75" style="59"/>
  </cols>
  <sheetData>
    <row r="1" spans="1:6">
      <c r="A1" s="498" t="s">
        <v>242</v>
      </c>
      <c r="B1" s="498"/>
      <c r="C1" s="498"/>
      <c r="D1" s="498"/>
      <c r="E1" s="498"/>
      <c r="F1" s="498"/>
    </row>
    <row r="2" spans="1:6" ht="16.149999999999999" customHeight="1">
      <c r="A2" s="498"/>
      <c r="B2" s="498"/>
      <c r="C2" s="498"/>
      <c r="D2" s="498"/>
      <c r="E2" s="498"/>
      <c r="F2" s="498"/>
    </row>
    <row r="3" spans="1:6" ht="16.149999999999999" customHeight="1">
      <c r="A3" s="498"/>
      <c r="B3" s="498"/>
      <c r="C3" s="498"/>
      <c r="D3" s="498"/>
      <c r="E3" s="498"/>
      <c r="F3" s="498"/>
    </row>
    <row r="4" spans="1:6" ht="16.149999999999999" customHeight="1">
      <c r="A4" s="498"/>
      <c r="B4" s="498"/>
      <c r="C4" s="498"/>
      <c r="D4" s="498"/>
      <c r="E4" s="498"/>
      <c r="F4" s="498"/>
    </row>
    <row r="5" spans="1:6" ht="16.149999999999999" customHeight="1">
      <c r="A5" s="498"/>
      <c r="B5" s="498"/>
      <c r="C5" s="498"/>
      <c r="D5" s="498"/>
      <c r="E5" s="498"/>
      <c r="F5" s="498"/>
    </row>
    <row r="6" spans="1:6" ht="16.149999999999999" customHeight="1">
      <c r="A6" s="498"/>
      <c r="B6" s="498"/>
      <c r="C6" s="498"/>
      <c r="D6" s="498"/>
      <c r="E6" s="498"/>
      <c r="F6" s="498"/>
    </row>
    <row r="7" spans="1:6" ht="16.149999999999999" customHeight="1">
      <c r="A7" s="498"/>
      <c r="B7" s="498"/>
      <c r="C7" s="498"/>
      <c r="D7" s="498"/>
      <c r="E7" s="498"/>
      <c r="F7" s="498"/>
    </row>
  </sheetData>
  <mergeCells count="1">
    <mergeCell ref="A1:F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BA6FC-4492-BF4C-A01C-85CF671D9433}">
  <dimension ref="A1:N82"/>
  <sheetViews>
    <sheetView showGridLines="0" zoomScale="75" workbookViewId="0">
      <selection activeCell="B31" sqref="B31"/>
    </sheetView>
  </sheetViews>
  <sheetFormatPr defaultColWidth="11" defaultRowHeight="15.75" outlineLevelRow="1"/>
  <cols>
    <col min="1" max="1" width="50.375" bestFit="1" customWidth="1"/>
    <col min="2" max="2" width="72.125" bestFit="1" customWidth="1"/>
    <col min="3" max="5" width="15.375" style="435" hidden="1" customWidth="1"/>
    <col min="6" max="10" width="16.375" style="435" hidden="1" customWidth="1"/>
    <col min="11" max="14" width="17.375" style="435" hidden="1" customWidth="1"/>
  </cols>
  <sheetData>
    <row r="1" spans="1:14">
      <c r="A1" s="33" t="s">
        <v>186</v>
      </c>
      <c r="B1" s="34" t="s">
        <v>174</v>
      </c>
      <c r="C1" s="453" t="s">
        <v>243</v>
      </c>
      <c r="D1" s="454" t="s">
        <v>244</v>
      </c>
      <c r="E1" s="454" t="s">
        <v>245</v>
      </c>
      <c r="F1" s="454" t="s">
        <v>246</v>
      </c>
      <c r="G1" s="454" t="s">
        <v>247</v>
      </c>
      <c r="H1" s="454" t="s">
        <v>248</v>
      </c>
      <c r="I1" s="454" t="s">
        <v>249</v>
      </c>
      <c r="J1" s="454" t="s">
        <v>250</v>
      </c>
      <c r="K1" s="454" t="s">
        <v>251</v>
      </c>
      <c r="L1" s="454" t="s">
        <v>252</v>
      </c>
      <c r="M1" s="454" t="s">
        <v>253</v>
      </c>
      <c r="N1" s="455" t="s">
        <v>254</v>
      </c>
    </row>
    <row r="2" spans="1:14">
      <c r="A2" s="1" t="s">
        <v>255</v>
      </c>
      <c r="B2" s="13" t="s">
        <v>256</v>
      </c>
      <c r="C2" s="456">
        <v>2000</v>
      </c>
      <c r="D2" s="457">
        <f>ROUNDUP((C2*1.4807),0)</f>
        <v>2962</v>
      </c>
      <c r="E2" s="457">
        <f>ROUNDUP((D2*1.4807),0)</f>
        <v>4386</v>
      </c>
      <c r="F2" s="457">
        <f t="shared" ref="F2" si="0">ROUNDUP((E2*1.4807),0)</f>
        <v>6495</v>
      </c>
      <c r="G2" s="457">
        <f t="shared" ref="G2" si="1">ROUNDUP((F2*1.4807),0)</f>
        <v>9618</v>
      </c>
      <c r="H2" s="457">
        <f t="shared" ref="H2" si="2">ROUNDUP((G2*1.4807),0)</f>
        <v>14242</v>
      </c>
      <c r="I2" s="457">
        <f t="shared" ref="I2" si="3">ROUNDUP((H2*1.4807),0)</f>
        <v>21089</v>
      </c>
      <c r="J2" s="457">
        <f t="shared" ref="J2" si="4">ROUNDUP((I2*1.4807),0)</f>
        <v>31227</v>
      </c>
      <c r="K2" s="457">
        <f t="shared" ref="K2" si="5">ROUNDUP((J2*1.4807),0)</f>
        <v>46238</v>
      </c>
      <c r="L2" s="457">
        <f t="shared" ref="L2" si="6">ROUNDUP((K2*1.4807),0)</f>
        <v>68465</v>
      </c>
      <c r="M2" s="457">
        <f t="shared" ref="M2" si="7">ROUNDUP((L2*1.4807),0)</f>
        <v>101377</v>
      </c>
      <c r="N2" s="458">
        <v>150000</v>
      </c>
    </row>
    <row r="3" spans="1:14" s="6" customFormat="1">
      <c r="A3" s="1" t="s">
        <v>257</v>
      </c>
      <c r="B3" s="13" t="s">
        <v>258</v>
      </c>
      <c r="C3" s="456">
        <v>2000</v>
      </c>
      <c r="D3" s="457">
        <f>D2-(C3*0.05)</f>
        <v>2862</v>
      </c>
      <c r="E3" s="457">
        <f t="shared" ref="E3:N3" si="8">E2-(D3*0.05)</f>
        <v>4242.8999999999996</v>
      </c>
      <c r="F3" s="457">
        <f t="shared" si="8"/>
        <v>6282.8549999999996</v>
      </c>
      <c r="G3" s="457">
        <f t="shared" si="8"/>
        <v>9303.8572500000009</v>
      </c>
      <c r="H3" s="457">
        <f t="shared" si="8"/>
        <v>13776.8071375</v>
      </c>
      <c r="I3" s="457">
        <f t="shared" si="8"/>
        <v>20400.159643125</v>
      </c>
      <c r="J3" s="457">
        <f t="shared" si="8"/>
        <v>30206.99201784375</v>
      </c>
      <c r="K3" s="457">
        <f t="shared" si="8"/>
        <v>44727.650399107813</v>
      </c>
      <c r="L3" s="457">
        <f t="shared" si="8"/>
        <v>66228.617480044602</v>
      </c>
      <c r="M3" s="457">
        <f t="shared" si="8"/>
        <v>98065.569125997776</v>
      </c>
      <c r="N3" s="459">
        <f t="shared" si="8"/>
        <v>145096.72154370011</v>
      </c>
    </row>
    <row r="4" spans="1:14">
      <c r="A4" s="2"/>
      <c r="B4" s="13"/>
      <c r="C4" s="460"/>
      <c r="D4" s="461"/>
      <c r="E4" s="461"/>
      <c r="F4" s="461"/>
      <c r="G4" s="461"/>
      <c r="H4" s="461"/>
      <c r="I4" s="462"/>
      <c r="J4" s="462"/>
      <c r="K4" s="462"/>
      <c r="L4" s="462"/>
      <c r="M4" s="462"/>
      <c r="N4" s="437"/>
    </row>
    <row r="5" spans="1:14">
      <c r="A5" s="9" t="s">
        <v>21</v>
      </c>
      <c r="B5" s="13"/>
      <c r="C5" s="460"/>
      <c r="D5" s="462"/>
      <c r="E5" s="462"/>
      <c r="F5" s="462"/>
      <c r="G5" s="462"/>
      <c r="H5" s="462"/>
      <c r="I5" s="462"/>
      <c r="J5" s="462"/>
      <c r="K5" s="462"/>
      <c r="L5" s="462"/>
      <c r="M5" s="462"/>
      <c r="N5" s="437"/>
    </row>
    <row r="6" spans="1:14" outlineLevel="1">
      <c r="A6" s="3" t="s">
        <v>259</v>
      </c>
      <c r="B6" s="13" t="s">
        <v>260</v>
      </c>
      <c r="C6" s="463">
        <f>'Fee Structure'!$B$2</f>
        <v>24.99</v>
      </c>
      <c r="D6" s="464">
        <f>'Fee Structure'!$B$2</f>
        <v>24.99</v>
      </c>
      <c r="E6" s="464">
        <f>'Fee Structure'!$B$2</f>
        <v>24.99</v>
      </c>
      <c r="F6" s="464">
        <f>'Fee Structure'!$B$2</f>
        <v>24.99</v>
      </c>
      <c r="G6" s="464">
        <f>'Fee Structure'!$B$2</f>
        <v>24.99</v>
      </c>
      <c r="H6" s="464">
        <f>'Fee Structure'!$B$2</f>
        <v>24.99</v>
      </c>
      <c r="I6" s="464">
        <f>'Fee Structure'!$B$2</f>
        <v>24.99</v>
      </c>
      <c r="J6" s="464">
        <f>'Fee Structure'!$B$2</f>
        <v>24.99</v>
      </c>
      <c r="K6" s="464">
        <f>'Fee Structure'!$B$2</f>
        <v>24.99</v>
      </c>
      <c r="L6" s="464">
        <f>'Fee Structure'!$B$2</f>
        <v>24.99</v>
      </c>
      <c r="M6" s="464">
        <f>'Fee Structure'!$B$2</f>
        <v>24.99</v>
      </c>
      <c r="N6" s="465">
        <f>'Fee Structure'!$B$2</f>
        <v>24.99</v>
      </c>
    </row>
    <row r="7" spans="1:14" outlineLevel="1">
      <c r="A7" s="3" t="s">
        <v>261</v>
      </c>
      <c r="B7" s="13" t="s">
        <v>262</v>
      </c>
      <c r="C7" s="460">
        <f>C2-Dashboard!B16</f>
        <v>0</v>
      </c>
      <c r="D7" s="466">
        <f>D2-C2</f>
        <v>962</v>
      </c>
      <c r="E7" s="466">
        <f t="shared" ref="E7:N7" si="9">E2-D2</f>
        <v>1424</v>
      </c>
      <c r="F7" s="466">
        <f t="shared" si="9"/>
        <v>2109</v>
      </c>
      <c r="G7" s="466">
        <f t="shared" si="9"/>
        <v>3123</v>
      </c>
      <c r="H7" s="466">
        <f t="shared" si="9"/>
        <v>4624</v>
      </c>
      <c r="I7" s="466">
        <f t="shared" si="9"/>
        <v>6847</v>
      </c>
      <c r="J7" s="466">
        <f t="shared" si="9"/>
        <v>10138</v>
      </c>
      <c r="K7" s="466">
        <f t="shared" si="9"/>
        <v>15011</v>
      </c>
      <c r="L7" s="466">
        <f t="shared" si="9"/>
        <v>22227</v>
      </c>
      <c r="M7" s="466">
        <f t="shared" si="9"/>
        <v>32912</v>
      </c>
      <c r="N7" s="467">
        <f t="shared" si="9"/>
        <v>48623</v>
      </c>
    </row>
    <row r="8" spans="1:14" s="6" customFormat="1">
      <c r="A8" s="5" t="s">
        <v>263</v>
      </c>
      <c r="B8" s="14"/>
      <c r="C8" s="468">
        <f>C6</f>
        <v>24.99</v>
      </c>
      <c r="D8" s="469">
        <f t="shared" ref="D8:N8" si="10">D6</f>
        <v>24.99</v>
      </c>
      <c r="E8" s="469">
        <f t="shared" si="10"/>
        <v>24.99</v>
      </c>
      <c r="F8" s="469">
        <f t="shared" si="10"/>
        <v>24.99</v>
      </c>
      <c r="G8" s="469">
        <f t="shared" si="10"/>
        <v>24.99</v>
      </c>
      <c r="H8" s="469">
        <f t="shared" si="10"/>
        <v>24.99</v>
      </c>
      <c r="I8" s="469">
        <f t="shared" si="10"/>
        <v>24.99</v>
      </c>
      <c r="J8" s="469">
        <f t="shared" si="10"/>
        <v>24.99</v>
      </c>
      <c r="K8" s="469">
        <f t="shared" si="10"/>
        <v>24.99</v>
      </c>
      <c r="L8" s="469">
        <f t="shared" si="10"/>
        <v>24.99</v>
      </c>
      <c r="M8" s="469">
        <f t="shared" si="10"/>
        <v>24.99</v>
      </c>
      <c r="N8" s="470">
        <f t="shared" si="10"/>
        <v>24.99</v>
      </c>
    </row>
    <row r="9" spans="1:14" s="6" customFormat="1" ht="16.5" thickBot="1">
      <c r="A9" s="7" t="s">
        <v>264</v>
      </c>
      <c r="B9" s="15"/>
      <c r="C9" s="471">
        <f>C8*C7</f>
        <v>0</v>
      </c>
      <c r="D9" s="471">
        <f t="shared" ref="D9:N9" si="11">D8*D7</f>
        <v>24040.379999999997</v>
      </c>
      <c r="E9" s="471">
        <f t="shared" si="11"/>
        <v>35585.759999999995</v>
      </c>
      <c r="F9" s="471">
        <f t="shared" si="11"/>
        <v>52703.909999999996</v>
      </c>
      <c r="G9" s="471">
        <f t="shared" si="11"/>
        <v>78043.76999999999</v>
      </c>
      <c r="H9" s="471">
        <f t="shared" si="11"/>
        <v>115553.76</v>
      </c>
      <c r="I9" s="471">
        <f t="shared" si="11"/>
        <v>171106.53</v>
      </c>
      <c r="J9" s="471">
        <f t="shared" si="11"/>
        <v>253348.62</v>
      </c>
      <c r="K9" s="471">
        <f t="shared" si="11"/>
        <v>375124.88999999996</v>
      </c>
      <c r="L9" s="471">
        <f t="shared" si="11"/>
        <v>555452.73</v>
      </c>
      <c r="M9" s="471">
        <f t="shared" si="11"/>
        <v>822470.88</v>
      </c>
      <c r="N9" s="472">
        <f t="shared" si="11"/>
        <v>1215088.77</v>
      </c>
    </row>
    <row r="10" spans="1:14">
      <c r="A10" s="3"/>
      <c r="B10" s="13"/>
      <c r="C10" s="460"/>
      <c r="D10" s="462"/>
      <c r="E10" s="462"/>
      <c r="F10" s="462"/>
      <c r="G10" s="462"/>
      <c r="H10" s="462"/>
      <c r="I10" s="462"/>
      <c r="J10" s="462"/>
      <c r="K10" s="462"/>
      <c r="L10" s="462"/>
      <c r="M10" s="462"/>
      <c r="N10" s="437"/>
    </row>
    <row r="11" spans="1:14">
      <c r="A11" s="1" t="s">
        <v>3</v>
      </c>
      <c r="B11" s="13"/>
      <c r="C11" s="460"/>
      <c r="D11" s="462"/>
      <c r="E11" s="462"/>
      <c r="F11" s="462"/>
      <c r="G11" s="462"/>
      <c r="H11" s="462"/>
      <c r="I11" s="462"/>
      <c r="J11" s="462"/>
      <c r="K11" s="462"/>
      <c r="L11" s="462"/>
      <c r="M11" s="462"/>
      <c r="N11" s="437"/>
    </row>
    <row r="12" spans="1:14" hidden="1" outlineLevel="1">
      <c r="A12" s="3" t="s">
        <v>265</v>
      </c>
      <c r="B12" s="19" t="s">
        <v>266</v>
      </c>
      <c r="C12" s="460">
        <v>0</v>
      </c>
      <c r="D12" s="462">
        <v>1.5</v>
      </c>
      <c r="E12" s="462">
        <v>1.5</v>
      </c>
      <c r="F12" s="462">
        <v>1.5</v>
      </c>
      <c r="G12" s="462">
        <v>1.5</v>
      </c>
      <c r="H12" s="462">
        <v>1.5</v>
      </c>
      <c r="I12" s="462">
        <v>1.5</v>
      </c>
      <c r="J12" s="462">
        <v>1.5</v>
      </c>
      <c r="K12" s="462">
        <v>1.5</v>
      </c>
      <c r="L12" s="462">
        <v>1.5</v>
      </c>
      <c r="M12" s="462">
        <v>1.5</v>
      </c>
      <c r="N12" s="437">
        <v>1.5</v>
      </c>
    </row>
    <row r="13" spans="1:14" hidden="1" outlineLevel="1">
      <c r="A13" s="3" t="s">
        <v>267</v>
      </c>
      <c r="B13" s="19" t="s">
        <v>266</v>
      </c>
      <c r="C13" s="473">
        <v>0</v>
      </c>
      <c r="D13" s="474">
        <v>400</v>
      </c>
      <c r="E13" s="474">
        <v>400</v>
      </c>
      <c r="F13" s="474">
        <v>400</v>
      </c>
      <c r="G13" s="474">
        <v>400</v>
      </c>
      <c r="H13" s="474">
        <v>400</v>
      </c>
      <c r="I13" s="474">
        <v>400</v>
      </c>
      <c r="J13" s="474">
        <v>400</v>
      </c>
      <c r="K13" s="474">
        <v>400</v>
      </c>
      <c r="L13" s="474">
        <v>400</v>
      </c>
      <c r="M13" s="474">
        <v>400</v>
      </c>
      <c r="N13" s="475">
        <v>400</v>
      </c>
    </row>
    <row r="14" spans="1:14" hidden="1" outlineLevel="1">
      <c r="A14" s="3" t="s">
        <v>268</v>
      </c>
      <c r="B14" s="13"/>
      <c r="C14" s="476">
        <v>0.9</v>
      </c>
      <c r="D14" s="477">
        <v>0.9</v>
      </c>
      <c r="E14" s="477">
        <v>0.9</v>
      </c>
      <c r="F14" s="477">
        <v>0.9</v>
      </c>
      <c r="G14" s="477">
        <v>0.9</v>
      </c>
      <c r="H14" s="477">
        <v>0.9</v>
      </c>
      <c r="I14" s="477">
        <v>0.9</v>
      </c>
      <c r="J14" s="477">
        <v>0.9</v>
      </c>
      <c r="K14" s="477">
        <v>0.9</v>
      </c>
      <c r="L14" s="477">
        <v>0.9</v>
      </c>
      <c r="M14" s="477">
        <v>0.9</v>
      </c>
      <c r="N14" s="478">
        <v>0.9</v>
      </c>
    </row>
    <row r="15" spans="1:14" hidden="1" outlineLevel="1">
      <c r="A15" s="3" t="s">
        <v>269</v>
      </c>
      <c r="B15" s="13"/>
      <c r="C15" s="477">
        <f>1-C14</f>
        <v>9.9999999999999978E-2</v>
      </c>
      <c r="D15" s="477">
        <f t="shared" ref="D15:N15" si="12">1-D14</f>
        <v>9.9999999999999978E-2</v>
      </c>
      <c r="E15" s="477">
        <f t="shared" si="12"/>
        <v>9.9999999999999978E-2</v>
      </c>
      <c r="F15" s="477">
        <f t="shared" si="12"/>
        <v>9.9999999999999978E-2</v>
      </c>
      <c r="G15" s="477">
        <f t="shared" si="12"/>
        <v>9.9999999999999978E-2</v>
      </c>
      <c r="H15" s="477">
        <f t="shared" si="12"/>
        <v>9.9999999999999978E-2</v>
      </c>
      <c r="I15" s="477">
        <f t="shared" si="12"/>
        <v>9.9999999999999978E-2</v>
      </c>
      <c r="J15" s="477">
        <f t="shared" si="12"/>
        <v>9.9999999999999978E-2</v>
      </c>
      <c r="K15" s="477">
        <f t="shared" si="12"/>
        <v>9.9999999999999978E-2</v>
      </c>
      <c r="L15" s="477">
        <f t="shared" si="12"/>
        <v>9.9999999999999978E-2</v>
      </c>
      <c r="M15" s="477">
        <f t="shared" si="12"/>
        <v>9.9999999999999978E-2</v>
      </c>
      <c r="N15" s="478">
        <f t="shared" si="12"/>
        <v>9.9999999999999978E-2</v>
      </c>
    </row>
    <row r="16" spans="1:14" hidden="1" outlineLevel="1">
      <c r="A16" s="3" t="s">
        <v>270</v>
      </c>
      <c r="B16" s="47" t="s">
        <v>193</v>
      </c>
      <c r="C16" s="479">
        <f>'Fee Structure'!$B$3</f>
        <v>0</v>
      </c>
      <c r="D16" s="479">
        <f>'Fee Structure'!$B$3</f>
        <v>0</v>
      </c>
      <c r="E16" s="479">
        <f>'Fee Structure'!$B$3</f>
        <v>0</v>
      </c>
      <c r="F16" s="479">
        <f>'Fee Structure'!$B$3</f>
        <v>0</v>
      </c>
      <c r="G16" s="479">
        <f>'Fee Structure'!$B$3</f>
        <v>0</v>
      </c>
      <c r="H16" s="479">
        <f>'Fee Structure'!$B$3</f>
        <v>0</v>
      </c>
      <c r="I16" s="479">
        <f>'Fee Structure'!$B$3</f>
        <v>0</v>
      </c>
      <c r="J16" s="479">
        <f>'Fee Structure'!$B$3</f>
        <v>0</v>
      </c>
      <c r="K16" s="479">
        <f>'Fee Structure'!$B$3</f>
        <v>0</v>
      </c>
      <c r="L16" s="479">
        <f>'Fee Structure'!$B$3</f>
        <v>0</v>
      </c>
      <c r="M16" s="479">
        <f>'Fee Structure'!$B$3</f>
        <v>0</v>
      </c>
      <c r="N16" s="480">
        <f>'Fee Structure'!$B$3</f>
        <v>0</v>
      </c>
    </row>
    <row r="17" spans="1:14" hidden="1" outlineLevel="1">
      <c r="A17" s="3" t="s">
        <v>271</v>
      </c>
      <c r="B17" s="13"/>
      <c r="C17" s="474">
        <f>C12*C13*C14*C16</f>
        <v>0</v>
      </c>
      <c r="D17" s="474">
        <f>D12*D13*D14*D16</f>
        <v>0</v>
      </c>
      <c r="E17" s="474">
        <f t="shared" ref="E17:N17" si="13">E12*E13*E14*E16</f>
        <v>0</v>
      </c>
      <c r="F17" s="474">
        <f t="shared" si="13"/>
        <v>0</v>
      </c>
      <c r="G17" s="474">
        <f t="shared" si="13"/>
        <v>0</v>
      </c>
      <c r="H17" s="474">
        <f t="shared" si="13"/>
        <v>0</v>
      </c>
      <c r="I17" s="474">
        <f t="shared" si="13"/>
        <v>0</v>
      </c>
      <c r="J17" s="474">
        <f t="shared" si="13"/>
        <v>0</v>
      </c>
      <c r="K17" s="474">
        <f t="shared" si="13"/>
        <v>0</v>
      </c>
      <c r="L17" s="474">
        <f t="shared" si="13"/>
        <v>0</v>
      </c>
      <c r="M17" s="474">
        <f t="shared" si="13"/>
        <v>0</v>
      </c>
      <c r="N17" s="475">
        <f t="shared" si="13"/>
        <v>0</v>
      </c>
    </row>
    <row r="18" spans="1:14" hidden="1" outlineLevel="1">
      <c r="A18" s="3" t="s">
        <v>272</v>
      </c>
      <c r="B18" s="47" t="s">
        <v>195</v>
      </c>
      <c r="C18" s="481">
        <f>'Fee Structure'!$B$4</f>
        <v>0</v>
      </c>
      <c r="D18" s="481">
        <f>'Fee Structure'!$B$4</f>
        <v>0</v>
      </c>
      <c r="E18" s="481">
        <f>'Fee Structure'!$B$4</f>
        <v>0</v>
      </c>
      <c r="F18" s="481">
        <f>'Fee Structure'!$B$4</f>
        <v>0</v>
      </c>
      <c r="G18" s="481">
        <f>'Fee Structure'!$B$4</f>
        <v>0</v>
      </c>
      <c r="H18" s="481">
        <f>'Fee Structure'!$B$4</f>
        <v>0</v>
      </c>
      <c r="I18" s="481">
        <f>'Fee Structure'!$B$4</f>
        <v>0</v>
      </c>
      <c r="J18" s="481">
        <f>'Fee Structure'!$B$4</f>
        <v>0</v>
      </c>
      <c r="K18" s="481">
        <f>'Fee Structure'!$B$4</f>
        <v>0</v>
      </c>
      <c r="L18" s="481">
        <f>'Fee Structure'!$B$4</f>
        <v>0</v>
      </c>
      <c r="M18" s="481">
        <f>'Fee Structure'!$B$4</f>
        <v>0</v>
      </c>
      <c r="N18" s="482">
        <f>'Fee Structure'!$B$4</f>
        <v>0</v>
      </c>
    </row>
    <row r="19" spans="1:14" hidden="1" outlineLevel="1">
      <c r="A19" s="3" t="s">
        <v>273</v>
      </c>
      <c r="B19" s="13"/>
      <c r="C19" s="473">
        <f>C12*C13*C15*C18</f>
        <v>0</v>
      </c>
      <c r="D19" s="474">
        <f>D12*D13*D15*D18</f>
        <v>0</v>
      </c>
      <c r="E19" s="474">
        <f t="shared" ref="E19:N19" si="14">E12*E13*E15*E18</f>
        <v>0</v>
      </c>
      <c r="F19" s="474">
        <f t="shared" si="14"/>
        <v>0</v>
      </c>
      <c r="G19" s="474">
        <f t="shared" si="14"/>
        <v>0</v>
      </c>
      <c r="H19" s="474">
        <f t="shared" si="14"/>
        <v>0</v>
      </c>
      <c r="I19" s="474">
        <f t="shared" si="14"/>
        <v>0</v>
      </c>
      <c r="J19" s="474">
        <f t="shared" si="14"/>
        <v>0</v>
      </c>
      <c r="K19" s="474">
        <f t="shared" si="14"/>
        <v>0</v>
      </c>
      <c r="L19" s="474">
        <f t="shared" si="14"/>
        <v>0</v>
      </c>
      <c r="M19" s="474">
        <f t="shared" si="14"/>
        <v>0</v>
      </c>
      <c r="N19" s="475">
        <f t="shared" si="14"/>
        <v>0</v>
      </c>
    </row>
    <row r="20" spans="1:14" s="6" customFormat="1" collapsed="1">
      <c r="A20" s="5" t="s">
        <v>274</v>
      </c>
      <c r="B20" s="14"/>
      <c r="C20" s="468">
        <f>C17+C19</f>
        <v>0</v>
      </c>
      <c r="D20" s="469">
        <f t="shared" ref="D20:N20" si="15">D17+D19</f>
        <v>0</v>
      </c>
      <c r="E20" s="469">
        <f t="shared" si="15"/>
        <v>0</v>
      </c>
      <c r="F20" s="469">
        <f t="shared" si="15"/>
        <v>0</v>
      </c>
      <c r="G20" s="469">
        <f t="shared" si="15"/>
        <v>0</v>
      </c>
      <c r="H20" s="469">
        <f t="shared" si="15"/>
        <v>0</v>
      </c>
      <c r="I20" s="469">
        <f t="shared" si="15"/>
        <v>0</v>
      </c>
      <c r="J20" s="469">
        <f t="shared" si="15"/>
        <v>0</v>
      </c>
      <c r="K20" s="469">
        <f t="shared" si="15"/>
        <v>0</v>
      </c>
      <c r="L20" s="469">
        <f t="shared" si="15"/>
        <v>0</v>
      </c>
      <c r="M20" s="469">
        <f t="shared" si="15"/>
        <v>0</v>
      </c>
      <c r="N20" s="483">
        <f t="shared" si="15"/>
        <v>0</v>
      </c>
    </row>
    <row r="21" spans="1:14" s="6" customFormat="1" ht="16.5" thickBot="1">
      <c r="A21" s="7" t="s">
        <v>275</v>
      </c>
      <c r="B21" s="15"/>
      <c r="C21" s="471">
        <f>C20*C3</f>
        <v>0</v>
      </c>
      <c r="D21" s="484">
        <f>D20*D3</f>
        <v>0</v>
      </c>
      <c r="E21" s="484">
        <f t="shared" ref="E21:N21" si="16">E20*E3</f>
        <v>0</v>
      </c>
      <c r="F21" s="484">
        <f t="shared" si="16"/>
        <v>0</v>
      </c>
      <c r="G21" s="484">
        <f t="shared" si="16"/>
        <v>0</v>
      </c>
      <c r="H21" s="484">
        <f t="shared" si="16"/>
        <v>0</v>
      </c>
      <c r="I21" s="484">
        <f t="shared" si="16"/>
        <v>0</v>
      </c>
      <c r="J21" s="484">
        <f t="shared" si="16"/>
        <v>0</v>
      </c>
      <c r="K21" s="484">
        <f t="shared" si="16"/>
        <v>0</v>
      </c>
      <c r="L21" s="484">
        <f t="shared" si="16"/>
        <v>0</v>
      </c>
      <c r="M21" s="484">
        <f t="shared" si="16"/>
        <v>0</v>
      </c>
      <c r="N21" s="485">
        <f t="shared" si="16"/>
        <v>0</v>
      </c>
    </row>
    <row r="22" spans="1:14">
      <c r="A22" s="2"/>
      <c r="B22" s="13"/>
      <c r="C22" s="460"/>
      <c r="D22" s="462"/>
      <c r="E22" s="462"/>
      <c r="F22" s="462"/>
      <c r="G22" s="462"/>
      <c r="H22" s="462"/>
      <c r="I22" s="462"/>
      <c r="J22" s="462"/>
      <c r="K22" s="462"/>
      <c r="L22" s="462"/>
      <c r="M22" s="462"/>
      <c r="N22" s="437"/>
    </row>
    <row r="23" spans="1:14">
      <c r="A23" s="9" t="s">
        <v>22</v>
      </c>
      <c r="B23" s="13"/>
      <c r="C23" s="460"/>
      <c r="D23" s="462"/>
      <c r="E23" s="462"/>
      <c r="F23" s="462"/>
      <c r="G23" s="462"/>
      <c r="H23" s="462"/>
      <c r="I23" s="462"/>
      <c r="J23" s="462"/>
      <c r="K23" s="462"/>
      <c r="L23" s="462"/>
      <c r="M23" s="462"/>
      <c r="N23" s="437"/>
    </row>
    <row r="24" spans="1:14" hidden="1" outlineLevel="1">
      <c r="A24" s="3" t="s">
        <v>276</v>
      </c>
      <c r="B24" s="19"/>
      <c r="C24" s="460">
        <v>2</v>
      </c>
      <c r="D24" s="462">
        <v>2</v>
      </c>
      <c r="E24" s="462">
        <v>2</v>
      </c>
      <c r="F24" s="462">
        <v>2</v>
      </c>
      <c r="G24" s="462">
        <v>2</v>
      </c>
      <c r="H24" s="462">
        <v>2</v>
      </c>
      <c r="I24" s="462">
        <v>2</v>
      </c>
      <c r="J24" s="462">
        <v>2</v>
      </c>
      <c r="K24" s="462">
        <v>2</v>
      </c>
      <c r="L24" s="462">
        <v>2</v>
      </c>
      <c r="M24" s="462">
        <v>2</v>
      </c>
      <c r="N24" s="437">
        <v>2</v>
      </c>
    </row>
    <row r="25" spans="1:14" hidden="1" outlineLevel="1">
      <c r="A25" s="3" t="s">
        <v>277</v>
      </c>
      <c r="B25" s="19"/>
      <c r="C25" s="473">
        <v>100</v>
      </c>
      <c r="D25" s="474">
        <v>100</v>
      </c>
      <c r="E25" s="474">
        <v>100</v>
      </c>
      <c r="F25" s="474">
        <v>100</v>
      </c>
      <c r="G25" s="474">
        <v>100</v>
      </c>
      <c r="H25" s="474">
        <v>100</v>
      </c>
      <c r="I25" s="474">
        <v>100</v>
      </c>
      <c r="J25" s="474">
        <v>100</v>
      </c>
      <c r="K25" s="474">
        <v>100</v>
      </c>
      <c r="L25" s="474">
        <v>100</v>
      </c>
      <c r="M25" s="474">
        <v>100</v>
      </c>
      <c r="N25" s="475">
        <v>100</v>
      </c>
    </row>
    <row r="26" spans="1:14" hidden="1" outlineLevel="1">
      <c r="A26" s="3" t="s">
        <v>278</v>
      </c>
      <c r="B26" s="19"/>
      <c r="C26" s="486">
        <f>'Fee Structure'!$B$5</f>
        <v>8.7500000000000008E-3</v>
      </c>
      <c r="D26" s="481">
        <f>'Fee Structure'!$B$5</f>
        <v>8.7500000000000008E-3</v>
      </c>
      <c r="E26" s="481">
        <f>'Fee Structure'!$B$5</f>
        <v>8.7500000000000008E-3</v>
      </c>
      <c r="F26" s="481">
        <f>'Fee Structure'!$B$5</f>
        <v>8.7500000000000008E-3</v>
      </c>
      <c r="G26" s="481">
        <f>'Fee Structure'!$B$5</f>
        <v>8.7500000000000008E-3</v>
      </c>
      <c r="H26" s="481">
        <f>'Fee Structure'!$B$5</f>
        <v>8.7500000000000008E-3</v>
      </c>
      <c r="I26" s="481">
        <f>'Fee Structure'!$B$5</f>
        <v>8.7500000000000008E-3</v>
      </c>
      <c r="J26" s="481">
        <f>'Fee Structure'!$B$5</f>
        <v>8.7500000000000008E-3</v>
      </c>
      <c r="K26" s="481">
        <f>'Fee Structure'!$B$5</f>
        <v>8.7500000000000008E-3</v>
      </c>
      <c r="L26" s="481">
        <f>'Fee Structure'!$B$5</f>
        <v>8.7500000000000008E-3</v>
      </c>
      <c r="M26" s="481">
        <f>'Fee Structure'!$B$5</f>
        <v>8.7500000000000008E-3</v>
      </c>
      <c r="N26" s="482">
        <f>'Fee Structure'!$B$5</f>
        <v>8.7500000000000008E-3</v>
      </c>
    </row>
    <row r="27" spans="1:14" hidden="1" outlineLevel="1">
      <c r="A27" s="3" t="s">
        <v>279</v>
      </c>
      <c r="B27" s="13"/>
      <c r="C27" s="473">
        <f>C24*C25*C26</f>
        <v>1.7500000000000002</v>
      </c>
      <c r="D27" s="474">
        <f t="shared" ref="D27:N27" si="17">D24*D25*D26</f>
        <v>1.7500000000000002</v>
      </c>
      <c r="E27" s="474">
        <f t="shared" si="17"/>
        <v>1.7500000000000002</v>
      </c>
      <c r="F27" s="474">
        <f t="shared" si="17"/>
        <v>1.7500000000000002</v>
      </c>
      <c r="G27" s="474">
        <f t="shared" si="17"/>
        <v>1.7500000000000002</v>
      </c>
      <c r="H27" s="474">
        <f t="shared" si="17"/>
        <v>1.7500000000000002</v>
      </c>
      <c r="I27" s="474">
        <f t="shared" si="17"/>
        <v>1.7500000000000002</v>
      </c>
      <c r="J27" s="474">
        <f t="shared" si="17"/>
        <v>1.7500000000000002</v>
      </c>
      <c r="K27" s="474">
        <f t="shared" si="17"/>
        <v>1.7500000000000002</v>
      </c>
      <c r="L27" s="474">
        <f t="shared" si="17"/>
        <v>1.7500000000000002</v>
      </c>
      <c r="M27" s="474">
        <f t="shared" si="17"/>
        <v>1.7500000000000002</v>
      </c>
      <c r="N27" s="475">
        <f t="shared" si="17"/>
        <v>1.7500000000000002</v>
      </c>
    </row>
    <row r="28" spans="1:14" s="6" customFormat="1" collapsed="1">
      <c r="A28" s="5" t="s">
        <v>280</v>
      </c>
      <c r="B28" s="14"/>
      <c r="C28" s="468">
        <f>C27</f>
        <v>1.7500000000000002</v>
      </c>
      <c r="D28" s="469">
        <f t="shared" ref="D28:N28" si="18">D27</f>
        <v>1.7500000000000002</v>
      </c>
      <c r="E28" s="469">
        <f t="shared" si="18"/>
        <v>1.7500000000000002</v>
      </c>
      <c r="F28" s="469">
        <f t="shared" si="18"/>
        <v>1.7500000000000002</v>
      </c>
      <c r="G28" s="469">
        <f t="shared" si="18"/>
        <v>1.7500000000000002</v>
      </c>
      <c r="H28" s="469">
        <f t="shared" si="18"/>
        <v>1.7500000000000002</v>
      </c>
      <c r="I28" s="469">
        <f t="shared" si="18"/>
        <v>1.7500000000000002</v>
      </c>
      <c r="J28" s="469">
        <f t="shared" si="18"/>
        <v>1.7500000000000002</v>
      </c>
      <c r="K28" s="469">
        <f t="shared" si="18"/>
        <v>1.7500000000000002</v>
      </c>
      <c r="L28" s="469">
        <f t="shared" si="18"/>
        <v>1.7500000000000002</v>
      </c>
      <c r="M28" s="469">
        <f t="shared" si="18"/>
        <v>1.7500000000000002</v>
      </c>
      <c r="N28" s="483">
        <f t="shared" si="18"/>
        <v>1.7500000000000002</v>
      </c>
    </row>
    <row r="29" spans="1:14" s="6" customFormat="1" ht="16.5" thickBot="1">
      <c r="A29" s="7" t="s">
        <v>281</v>
      </c>
      <c r="B29" s="15"/>
      <c r="C29" s="471">
        <f>C28*C3</f>
        <v>3500.0000000000005</v>
      </c>
      <c r="D29" s="484">
        <f t="shared" ref="D29:N29" si="19">D28*D3</f>
        <v>5008.5000000000009</v>
      </c>
      <c r="E29" s="484">
        <f t="shared" si="19"/>
        <v>7425.0750000000007</v>
      </c>
      <c r="F29" s="484">
        <f t="shared" si="19"/>
        <v>10994.99625</v>
      </c>
      <c r="G29" s="484">
        <f t="shared" si="19"/>
        <v>16281.750187500003</v>
      </c>
      <c r="H29" s="484">
        <f t="shared" si="19"/>
        <v>24109.412490625004</v>
      </c>
      <c r="I29" s="484">
        <f>I28*I3</f>
        <v>35700.279375468752</v>
      </c>
      <c r="J29" s="484">
        <f t="shared" si="19"/>
        <v>52862.236031226566</v>
      </c>
      <c r="K29" s="484">
        <f t="shared" si="19"/>
        <v>78273.388198438683</v>
      </c>
      <c r="L29" s="484">
        <f t="shared" si="19"/>
        <v>115900.08059007807</v>
      </c>
      <c r="M29" s="484">
        <f t="shared" si="19"/>
        <v>171614.74597049612</v>
      </c>
      <c r="N29" s="485">
        <f t="shared" si="19"/>
        <v>253919.26270147524</v>
      </c>
    </row>
    <row r="30" spans="1:14">
      <c r="A30" s="3"/>
      <c r="B30" s="13"/>
      <c r="C30" s="460"/>
      <c r="D30" s="462"/>
      <c r="E30" s="462"/>
      <c r="F30" s="462"/>
      <c r="G30" s="462"/>
      <c r="H30" s="462"/>
      <c r="I30" s="462"/>
      <c r="J30" s="462"/>
      <c r="K30" s="462"/>
      <c r="L30" s="462"/>
      <c r="M30" s="462"/>
      <c r="N30" s="437"/>
    </row>
    <row r="31" spans="1:14">
      <c r="A31" s="1" t="s">
        <v>44</v>
      </c>
      <c r="B31" s="13"/>
      <c r="C31" s="460"/>
      <c r="D31" s="462"/>
      <c r="E31" s="462"/>
      <c r="F31" s="462"/>
      <c r="G31" s="462"/>
      <c r="H31" s="462"/>
      <c r="I31" s="462"/>
      <c r="J31" s="462"/>
      <c r="K31" s="462"/>
      <c r="L31" s="462"/>
      <c r="M31" s="462"/>
      <c r="N31" s="437"/>
    </row>
    <row r="32" spans="1:14" outlineLevel="1">
      <c r="A32" s="3" t="s">
        <v>282</v>
      </c>
      <c r="B32" s="19" t="s">
        <v>283</v>
      </c>
      <c r="C32" s="460">
        <v>6</v>
      </c>
      <c r="D32" s="462">
        <v>6</v>
      </c>
      <c r="E32" s="462">
        <v>6</v>
      </c>
      <c r="F32" s="462">
        <v>6</v>
      </c>
      <c r="G32" s="462">
        <v>6</v>
      </c>
      <c r="H32" s="462">
        <v>6</v>
      </c>
      <c r="I32" s="462">
        <v>6</v>
      </c>
      <c r="J32" s="462">
        <v>6</v>
      </c>
      <c r="K32" s="462">
        <v>6</v>
      </c>
      <c r="L32" s="462">
        <v>6</v>
      </c>
      <c r="M32" s="462">
        <v>6</v>
      </c>
      <c r="N32" s="437">
        <v>6</v>
      </c>
    </row>
    <row r="33" spans="1:14" outlineLevel="1">
      <c r="A33" s="3" t="s">
        <v>284</v>
      </c>
      <c r="B33" s="13" t="s">
        <v>285</v>
      </c>
      <c r="C33" s="474">
        <v>40</v>
      </c>
      <c r="D33" s="474">
        <v>40</v>
      </c>
      <c r="E33" s="474">
        <v>40</v>
      </c>
      <c r="F33" s="474">
        <v>40</v>
      </c>
      <c r="G33" s="474">
        <v>40</v>
      </c>
      <c r="H33" s="474">
        <v>40</v>
      </c>
      <c r="I33" s="474">
        <v>40</v>
      </c>
      <c r="J33" s="474">
        <v>40</v>
      </c>
      <c r="K33" s="474">
        <v>40</v>
      </c>
      <c r="L33" s="474">
        <v>40</v>
      </c>
      <c r="M33" s="474">
        <v>40</v>
      </c>
      <c r="N33" s="475">
        <v>40</v>
      </c>
    </row>
    <row r="34" spans="1:14" outlineLevel="1">
      <c r="A34" s="3" t="s">
        <v>286</v>
      </c>
      <c r="B34" s="13"/>
      <c r="C34" s="481">
        <f>'Fee Structure'!$B$7</f>
        <v>0.01</v>
      </c>
      <c r="D34" s="481">
        <f>'Fee Structure'!$B$7</f>
        <v>0.01</v>
      </c>
      <c r="E34" s="481">
        <f>'Fee Structure'!$B$7</f>
        <v>0.01</v>
      </c>
      <c r="F34" s="481">
        <f>'Fee Structure'!$B$7</f>
        <v>0.01</v>
      </c>
      <c r="G34" s="481">
        <f>'Fee Structure'!$B$7</f>
        <v>0.01</v>
      </c>
      <c r="H34" s="481">
        <f>'Fee Structure'!$B$7</f>
        <v>0.01</v>
      </c>
      <c r="I34" s="481">
        <f>'Fee Structure'!$B$7</f>
        <v>0.01</v>
      </c>
      <c r="J34" s="481">
        <f>'Fee Structure'!$B$7</f>
        <v>0.01</v>
      </c>
      <c r="K34" s="481">
        <f>'Fee Structure'!$B$7</f>
        <v>0.01</v>
      </c>
      <c r="L34" s="481">
        <f>'Fee Structure'!$B$7</f>
        <v>0.01</v>
      </c>
      <c r="M34" s="481">
        <f>'Fee Structure'!$B$7</f>
        <v>0.01</v>
      </c>
      <c r="N34" s="481">
        <f>'Fee Structure'!$B$7</f>
        <v>0.01</v>
      </c>
    </row>
    <row r="35" spans="1:14" outlineLevel="1">
      <c r="A35" s="3" t="s">
        <v>287</v>
      </c>
      <c r="B35" s="13"/>
      <c r="C35" s="473">
        <f>C32*C33*C34</f>
        <v>2.4</v>
      </c>
      <c r="D35" s="474">
        <f t="shared" ref="D35:N35" si="20">D32*D33*D34</f>
        <v>2.4</v>
      </c>
      <c r="E35" s="474">
        <f t="shared" si="20"/>
        <v>2.4</v>
      </c>
      <c r="F35" s="474">
        <f t="shared" si="20"/>
        <v>2.4</v>
      </c>
      <c r="G35" s="474">
        <f t="shared" si="20"/>
        <v>2.4</v>
      </c>
      <c r="H35" s="474">
        <f t="shared" si="20"/>
        <v>2.4</v>
      </c>
      <c r="I35" s="474">
        <f t="shared" si="20"/>
        <v>2.4</v>
      </c>
      <c r="J35" s="474">
        <f t="shared" si="20"/>
        <v>2.4</v>
      </c>
      <c r="K35" s="474">
        <f t="shared" si="20"/>
        <v>2.4</v>
      </c>
      <c r="L35" s="474">
        <f t="shared" si="20"/>
        <v>2.4</v>
      </c>
      <c r="M35" s="474">
        <f t="shared" si="20"/>
        <v>2.4</v>
      </c>
      <c r="N35" s="475">
        <f t="shared" si="20"/>
        <v>2.4</v>
      </c>
    </row>
    <row r="36" spans="1:14" outlineLevel="1">
      <c r="A36" s="10" t="s">
        <v>288</v>
      </c>
      <c r="B36" s="13"/>
      <c r="C36" s="481">
        <f>'Fee Structure'!$B$6</f>
        <v>2E-3</v>
      </c>
      <c r="D36" s="481">
        <f>'Fee Structure'!$B$6</f>
        <v>2E-3</v>
      </c>
      <c r="E36" s="481">
        <f>'Fee Structure'!$B$6</f>
        <v>2E-3</v>
      </c>
      <c r="F36" s="481">
        <f>'Fee Structure'!$B$6</f>
        <v>2E-3</v>
      </c>
      <c r="G36" s="481">
        <f>'Fee Structure'!$B$6</f>
        <v>2E-3</v>
      </c>
      <c r="H36" s="481">
        <f>'Fee Structure'!$B$6</f>
        <v>2E-3</v>
      </c>
      <c r="I36" s="481">
        <f>'Fee Structure'!$B$6</f>
        <v>2E-3</v>
      </c>
      <c r="J36" s="481">
        <f>'Fee Structure'!$B$6</f>
        <v>2E-3</v>
      </c>
      <c r="K36" s="481">
        <f>'Fee Structure'!$B$6</f>
        <v>2E-3</v>
      </c>
      <c r="L36" s="481">
        <f>'Fee Structure'!$B$6</f>
        <v>2E-3</v>
      </c>
      <c r="M36" s="481">
        <f>'Fee Structure'!$B$6</f>
        <v>2E-3</v>
      </c>
      <c r="N36" s="482">
        <f>'Fee Structure'!$B$6</f>
        <v>2E-3</v>
      </c>
    </row>
    <row r="37" spans="1:14" outlineLevel="1">
      <c r="A37" s="3" t="s">
        <v>289</v>
      </c>
      <c r="B37" s="13"/>
      <c r="C37" s="473">
        <f>C32*C33*C36</f>
        <v>0.48</v>
      </c>
      <c r="D37" s="474">
        <f t="shared" ref="D37:N37" si="21">D32*D33*D36</f>
        <v>0.48</v>
      </c>
      <c r="E37" s="474">
        <f t="shared" si="21"/>
        <v>0.48</v>
      </c>
      <c r="F37" s="474">
        <f t="shared" si="21"/>
        <v>0.48</v>
      </c>
      <c r="G37" s="474">
        <f t="shared" si="21"/>
        <v>0.48</v>
      </c>
      <c r="H37" s="474">
        <f t="shared" si="21"/>
        <v>0.48</v>
      </c>
      <c r="I37" s="474">
        <f t="shared" si="21"/>
        <v>0.48</v>
      </c>
      <c r="J37" s="474">
        <f t="shared" si="21"/>
        <v>0.48</v>
      </c>
      <c r="K37" s="474">
        <f t="shared" si="21"/>
        <v>0.48</v>
      </c>
      <c r="L37" s="474">
        <f t="shared" si="21"/>
        <v>0.48</v>
      </c>
      <c r="M37" s="474">
        <f t="shared" si="21"/>
        <v>0.48</v>
      </c>
      <c r="N37" s="475">
        <f t="shared" si="21"/>
        <v>0.48</v>
      </c>
    </row>
    <row r="38" spans="1:14" s="6" customFormat="1">
      <c r="A38" s="5" t="s">
        <v>290</v>
      </c>
      <c r="B38" s="14"/>
      <c r="C38" s="468">
        <f>C35+C37</f>
        <v>2.88</v>
      </c>
      <c r="D38" s="469">
        <f t="shared" ref="D38:N38" si="22">D35+D37</f>
        <v>2.88</v>
      </c>
      <c r="E38" s="469">
        <f t="shared" si="22"/>
        <v>2.88</v>
      </c>
      <c r="F38" s="469">
        <f t="shared" si="22"/>
        <v>2.88</v>
      </c>
      <c r="G38" s="469">
        <f t="shared" si="22"/>
        <v>2.88</v>
      </c>
      <c r="H38" s="469">
        <f t="shared" si="22"/>
        <v>2.88</v>
      </c>
      <c r="I38" s="469">
        <f t="shared" si="22"/>
        <v>2.88</v>
      </c>
      <c r="J38" s="469">
        <f t="shared" si="22"/>
        <v>2.88</v>
      </c>
      <c r="K38" s="469">
        <f t="shared" si="22"/>
        <v>2.88</v>
      </c>
      <c r="L38" s="469">
        <f t="shared" si="22"/>
        <v>2.88</v>
      </c>
      <c r="M38" s="469">
        <f t="shared" si="22"/>
        <v>2.88</v>
      </c>
      <c r="N38" s="483">
        <f t="shared" si="22"/>
        <v>2.88</v>
      </c>
    </row>
    <row r="39" spans="1:14" s="6" customFormat="1" ht="16.5" thickBot="1">
      <c r="A39" s="7" t="s">
        <v>291</v>
      </c>
      <c r="B39" s="15"/>
      <c r="C39" s="471">
        <f t="shared" ref="C39:N39" si="23">C38*C3</f>
        <v>5760</v>
      </c>
      <c r="D39" s="484">
        <f t="shared" si="23"/>
        <v>8242.56</v>
      </c>
      <c r="E39" s="484">
        <f t="shared" si="23"/>
        <v>12219.551999999998</v>
      </c>
      <c r="F39" s="484">
        <f t="shared" si="23"/>
        <v>18094.622399999997</v>
      </c>
      <c r="G39" s="484">
        <f t="shared" si="23"/>
        <v>26795.108880000003</v>
      </c>
      <c r="H39" s="484">
        <f t="shared" si="23"/>
        <v>39677.204555999997</v>
      </c>
      <c r="I39" s="484">
        <f t="shared" si="23"/>
        <v>58752.459772199996</v>
      </c>
      <c r="J39" s="484">
        <f t="shared" si="23"/>
        <v>86996.13701138999</v>
      </c>
      <c r="K39" s="484">
        <f t="shared" si="23"/>
        <v>128815.63314943051</v>
      </c>
      <c r="L39" s="484">
        <f t="shared" si="23"/>
        <v>190738.41834252846</v>
      </c>
      <c r="M39" s="484">
        <f t="shared" si="23"/>
        <v>282428.8390828736</v>
      </c>
      <c r="N39" s="485">
        <f t="shared" si="23"/>
        <v>417878.55804585631</v>
      </c>
    </row>
    <row r="40" spans="1:14">
      <c r="A40" s="2"/>
      <c r="B40" s="13"/>
      <c r="C40" s="460"/>
      <c r="D40" s="462"/>
      <c r="E40" s="462"/>
      <c r="F40" s="462"/>
      <c r="G40" s="462"/>
      <c r="H40" s="462"/>
      <c r="I40" s="462"/>
      <c r="J40" s="462"/>
      <c r="K40" s="462"/>
      <c r="L40" s="462"/>
      <c r="M40" s="462"/>
      <c r="N40" s="437"/>
    </row>
    <row r="41" spans="1:14" hidden="1">
      <c r="A41" s="1" t="s">
        <v>45</v>
      </c>
      <c r="B41" s="13"/>
      <c r="C41" s="460"/>
      <c r="D41" s="462"/>
      <c r="E41" s="462"/>
      <c r="F41" s="462"/>
      <c r="G41" s="462"/>
      <c r="H41" s="462"/>
      <c r="I41" s="462"/>
      <c r="J41" s="462"/>
      <c r="K41" s="462"/>
      <c r="L41" s="462"/>
      <c r="M41" s="462"/>
      <c r="N41" s="437"/>
    </row>
    <row r="42" spans="1:14" hidden="1" outlineLevel="1">
      <c r="A42" s="3" t="s">
        <v>292</v>
      </c>
      <c r="B42" s="13" t="s">
        <v>283</v>
      </c>
      <c r="C42" s="460">
        <v>0</v>
      </c>
      <c r="D42" s="460">
        <v>0</v>
      </c>
      <c r="E42" s="460">
        <v>0</v>
      </c>
      <c r="F42" s="460">
        <v>0</v>
      </c>
      <c r="G42" s="460">
        <v>0</v>
      </c>
      <c r="H42" s="460">
        <v>0</v>
      </c>
      <c r="I42" s="460">
        <v>0</v>
      </c>
      <c r="J42" s="460">
        <v>0</v>
      </c>
      <c r="K42" s="460">
        <v>0</v>
      </c>
      <c r="L42" s="460">
        <v>0</v>
      </c>
      <c r="M42" s="460">
        <v>0</v>
      </c>
      <c r="N42" s="460">
        <v>0</v>
      </c>
    </row>
    <row r="43" spans="1:14" hidden="1" outlineLevel="1">
      <c r="A43" s="3" t="s">
        <v>293</v>
      </c>
      <c r="B43" s="13" t="s">
        <v>285</v>
      </c>
      <c r="C43" s="473">
        <v>40</v>
      </c>
      <c r="D43" s="474">
        <v>40</v>
      </c>
      <c r="E43" s="474">
        <v>40</v>
      </c>
      <c r="F43" s="474">
        <v>40</v>
      </c>
      <c r="G43" s="474">
        <v>40</v>
      </c>
      <c r="H43" s="474">
        <v>40</v>
      </c>
      <c r="I43" s="474">
        <v>40</v>
      </c>
      <c r="J43" s="474">
        <v>40</v>
      </c>
      <c r="K43" s="474">
        <v>40</v>
      </c>
      <c r="L43" s="474">
        <v>40</v>
      </c>
      <c r="M43" s="474">
        <v>40</v>
      </c>
      <c r="N43" s="474">
        <v>40</v>
      </c>
    </row>
    <row r="44" spans="1:14" hidden="1" outlineLevel="1">
      <c r="A44" s="3" t="s">
        <v>294</v>
      </c>
      <c r="B44" s="16"/>
      <c r="C44" s="481">
        <f>'Fee Structure'!$B$7</f>
        <v>0.01</v>
      </c>
      <c r="D44" s="481">
        <f>'Fee Structure'!$B$7</f>
        <v>0.01</v>
      </c>
      <c r="E44" s="481">
        <f>'Fee Structure'!$B$7</f>
        <v>0.01</v>
      </c>
      <c r="F44" s="481">
        <f>'Fee Structure'!$B$7</f>
        <v>0.01</v>
      </c>
      <c r="G44" s="481">
        <f>'Fee Structure'!$B$7</f>
        <v>0.01</v>
      </c>
      <c r="H44" s="481">
        <f>'Fee Structure'!$B$7</f>
        <v>0.01</v>
      </c>
      <c r="I44" s="481">
        <f>'Fee Structure'!$B$7</f>
        <v>0.01</v>
      </c>
      <c r="J44" s="481">
        <f>'Fee Structure'!$B$7</f>
        <v>0.01</v>
      </c>
      <c r="K44" s="481">
        <f>'Fee Structure'!$B$7</f>
        <v>0.01</v>
      </c>
      <c r="L44" s="481">
        <f>'Fee Structure'!$B$7</f>
        <v>0.01</v>
      </c>
      <c r="M44" s="481">
        <f>'Fee Structure'!$B$7</f>
        <v>0.01</v>
      </c>
      <c r="N44" s="482">
        <f>'Fee Structure'!$B$7</f>
        <v>0.01</v>
      </c>
    </row>
    <row r="45" spans="1:14" hidden="1" outlineLevel="1">
      <c r="A45" s="3" t="s">
        <v>295</v>
      </c>
      <c r="B45" s="13"/>
      <c r="C45" s="473">
        <f>C42*C43*C44</f>
        <v>0</v>
      </c>
      <c r="D45" s="474">
        <f t="shared" ref="D45:N45" si="24">D42*D43*D44</f>
        <v>0</v>
      </c>
      <c r="E45" s="474">
        <f t="shared" si="24"/>
        <v>0</v>
      </c>
      <c r="F45" s="474">
        <f t="shared" si="24"/>
        <v>0</v>
      </c>
      <c r="G45" s="474">
        <f t="shared" si="24"/>
        <v>0</v>
      </c>
      <c r="H45" s="474">
        <f t="shared" si="24"/>
        <v>0</v>
      </c>
      <c r="I45" s="474">
        <f t="shared" si="24"/>
        <v>0</v>
      </c>
      <c r="J45" s="474">
        <f t="shared" si="24"/>
        <v>0</v>
      </c>
      <c r="K45" s="474">
        <f t="shared" si="24"/>
        <v>0</v>
      </c>
      <c r="L45" s="474">
        <f t="shared" si="24"/>
        <v>0</v>
      </c>
      <c r="M45" s="474">
        <f t="shared" si="24"/>
        <v>0</v>
      </c>
      <c r="N45" s="475">
        <f t="shared" si="24"/>
        <v>0</v>
      </c>
    </row>
    <row r="46" spans="1:14" s="6" customFormat="1" hidden="1" collapsed="1">
      <c r="A46" s="5" t="s">
        <v>296</v>
      </c>
      <c r="B46" s="14"/>
      <c r="C46" s="468">
        <f>C45</f>
        <v>0</v>
      </c>
      <c r="D46" s="469">
        <f t="shared" ref="D46:N46" si="25">D45</f>
        <v>0</v>
      </c>
      <c r="E46" s="469">
        <f t="shared" si="25"/>
        <v>0</v>
      </c>
      <c r="F46" s="469">
        <f t="shared" si="25"/>
        <v>0</v>
      </c>
      <c r="G46" s="469">
        <f t="shared" si="25"/>
        <v>0</v>
      </c>
      <c r="H46" s="469">
        <f t="shared" si="25"/>
        <v>0</v>
      </c>
      <c r="I46" s="469">
        <f t="shared" si="25"/>
        <v>0</v>
      </c>
      <c r="J46" s="469">
        <f t="shared" si="25"/>
        <v>0</v>
      </c>
      <c r="K46" s="469">
        <f t="shared" si="25"/>
        <v>0</v>
      </c>
      <c r="L46" s="469">
        <f t="shared" si="25"/>
        <v>0</v>
      </c>
      <c r="M46" s="469">
        <f t="shared" si="25"/>
        <v>0</v>
      </c>
      <c r="N46" s="483">
        <f t="shared" si="25"/>
        <v>0</v>
      </c>
    </row>
    <row r="47" spans="1:14" s="6" customFormat="1" ht="16.5" hidden="1" thickBot="1">
      <c r="A47" s="7" t="s">
        <v>297</v>
      </c>
      <c r="B47" s="15"/>
      <c r="C47" s="471">
        <f t="shared" ref="C47:N47" si="26">C46*C3</f>
        <v>0</v>
      </c>
      <c r="D47" s="484">
        <f t="shared" si="26"/>
        <v>0</v>
      </c>
      <c r="E47" s="484">
        <f t="shared" si="26"/>
        <v>0</v>
      </c>
      <c r="F47" s="484">
        <f t="shared" si="26"/>
        <v>0</v>
      </c>
      <c r="G47" s="484">
        <f t="shared" si="26"/>
        <v>0</v>
      </c>
      <c r="H47" s="484">
        <f t="shared" si="26"/>
        <v>0</v>
      </c>
      <c r="I47" s="484">
        <f t="shared" si="26"/>
        <v>0</v>
      </c>
      <c r="J47" s="484">
        <f t="shared" si="26"/>
        <v>0</v>
      </c>
      <c r="K47" s="484">
        <f t="shared" si="26"/>
        <v>0</v>
      </c>
      <c r="L47" s="484">
        <f t="shared" si="26"/>
        <v>0</v>
      </c>
      <c r="M47" s="484">
        <f t="shared" si="26"/>
        <v>0</v>
      </c>
      <c r="N47" s="485">
        <f t="shared" si="26"/>
        <v>0</v>
      </c>
    </row>
    <row r="48" spans="1:14">
      <c r="A48" s="3"/>
      <c r="B48" s="13"/>
      <c r="C48" s="460"/>
      <c r="D48" s="462"/>
      <c r="E48" s="462"/>
      <c r="F48" s="462"/>
      <c r="G48" s="462"/>
      <c r="H48" s="462"/>
      <c r="I48" s="462"/>
      <c r="J48" s="462"/>
      <c r="K48" s="462"/>
      <c r="L48" s="462"/>
      <c r="M48" s="462"/>
      <c r="N48" s="437"/>
    </row>
    <row r="49" spans="1:14">
      <c r="A49" s="9" t="s">
        <v>23</v>
      </c>
      <c r="B49" s="13"/>
      <c r="C49" s="460"/>
      <c r="D49" s="462"/>
      <c r="E49" s="462"/>
      <c r="F49" s="462"/>
      <c r="G49" s="462"/>
      <c r="H49" s="462"/>
      <c r="I49" s="462"/>
      <c r="J49" s="462"/>
      <c r="K49" s="462"/>
      <c r="L49" s="462"/>
      <c r="M49" s="462"/>
      <c r="N49" s="437"/>
    </row>
    <row r="50" spans="1:14" hidden="1" outlineLevel="1">
      <c r="A50" s="3" t="s">
        <v>298</v>
      </c>
      <c r="B50" s="13"/>
      <c r="C50" s="460">
        <v>1</v>
      </c>
      <c r="D50" s="462">
        <v>1</v>
      </c>
      <c r="E50" s="462">
        <v>1</v>
      </c>
      <c r="F50" s="462">
        <v>1</v>
      </c>
      <c r="G50" s="462">
        <v>1</v>
      </c>
      <c r="H50" s="462">
        <v>1</v>
      </c>
      <c r="I50" s="462">
        <v>1</v>
      </c>
      <c r="J50" s="462">
        <v>1</v>
      </c>
      <c r="K50" s="462">
        <v>1</v>
      </c>
      <c r="L50" s="462">
        <v>1</v>
      </c>
      <c r="M50" s="462">
        <v>1</v>
      </c>
      <c r="N50" s="462">
        <v>1</v>
      </c>
    </row>
    <row r="51" spans="1:14" hidden="1" outlineLevel="1">
      <c r="A51" s="3" t="s">
        <v>299</v>
      </c>
      <c r="B51" s="13"/>
      <c r="C51" s="473">
        <v>10</v>
      </c>
      <c r="D51" s="474">
        <v>10</v>
      </c>
      <c r="E51" s="474">
        <v>10</v>
      </c>
      <c r="F51" s="474">
        <v>10</v>
      </c>
      <c r="G51" s="474">
        <v>10</v>
      </c>
      <c r="H51" s="474">
        <v>10</v>
      </c>
      <c r="I51" s="474">
        <v>10</v>
      </c>
      <c r="J51" s="474">
        <v>10</v>
      </c>
      <c r="K51" s="474">
        <v>10</v>
      </c>
      <c r="L51" s="474">
        <v>10</v>
      </c>
      <c r="M51" s="474">
        <v>10</v>
      </c>
      <c r="N51" s="475">
        <v>10</v>
      </c>
    </row>
    <row r="52" spans="1:14" hidden="1" outlineLevel="1">
      <c r="A52" s="3" t="s">
        <v>300</v>
      </c>
      <c r="B52" s="13"/>
      <c r="C52" s="481">
        <f>'Fee Structure'!$B$8</f>
        <v>0</v>
      </c>
      <c r="D52" s="481">
        <f>'Fee Structure'!$B$8</f>
        <v>0</v>
      </c>
      <c r="E52" s="481">
        <f>'Fee Structure'!$B$8</f>
        <v>0</v>
      </c>
      <c r="F52" s="481">
        <f>'Fee Structure'!$B$8</f>
        <v>0</v>
      </c>
      <c r="G52" s="481">
        <f>'Fee Structure'!$B$8</f>
        <v>0</v>
      </c>
      <c r="H52" s="481">
        <f>'Fee Structure'!$B$8</f>
        <v>0</v>
      </c>
      <c r="I52" s="481">
        <f>'Fee Structure'!$B$8</f>
        <v>0</v>
      </c>
      <c r="J52" s="481">
        <f>'Fee Structure'!$B$8</f>
        <v>0</v>
      </c>
      <c r="K52" s="481">
        <f>'Fee Structure'!$B$8</f>
        <v>0</v>
      </c>
      <c r="L52" s="481">
        <f>'Fee Structure'!$B$8</f>
        <v>0</v>
      </c>
      <c r="M52" s="481">
        <f>'Fee Structure'!$B$8</f>
        <v>0</v>
      </c>
      <c r="N52" s="482">
        <f>'Fee Structure'!$B$8</f>
        <v>0</v>
      </c>
    </row>
    <row r="53" spans="1:14" hidden="1" outlineLevel="1">
      <c r="A53" s="3" t="s">
        <v>301</v>
      </c>
      <c r="B53" s="13"/>
      <c r="C53" s="473">
        <f>C50*C51*C52</f>
        <v>0</v>
      </c>
      <c r="D53" s="474">
        <f t="shared" ref="D53:N53" si="27">D50*D51*D52</f>
        <v>0</v>
      </c>
      <c r="E53" s="474">
        <f t="shared" si="27"/>
        <v>0</v>
      </c>
      <c r="F53" s="474">
        <f t="shared" si="27"/>
        <v>0</v>
      </c>
      <c r="G53" s="474">
        <f t="shared" si="27"/>
        <v>0</v>
      </c>
      <c r="H53" s="474">
        <f t="shared" si="27"/>
        <v>0</v>
      </c>
      <c r="I53" s="474">
        <f t="shared" si="27"/>
        <v>0</v>
      </c>
      <c r="J53" s="474">
        <f t="shared" si="27"/>
        <v>0</v>
      </c>
      <c r="K53" s="474">
        <f t="shared" si="27"/>
        <v>0</v>
      </c>
      <c r="L53" s="474">
        <f t="shared" si="27"/>
        <v>0</v>
      </c>
      <c r="M53" s="474">
        <f t="shared" si="27"/>
        <v>0</v>
      </c>
      <c r="N53" s="475">
        <f t="shared" si="27"/>
        <v>0</v>
      </c>
    </row>
    <row r="54" spans="1:14" s="6" customFormat="1" hidden="1" collapsed="1">
      <c r="A54" s="5" t="s">
        <v>302</v>
      </c>
      <c r="B54" s="14" t="s">
        <v>303</v>
      </c>
      <c r="C54" s="468">
        <f>C53</f>
        <v>0</v>
      </c>
      <c r="D54" s="469">
        <f t="shared" ref="D54:N54" si="28">D53</f>
        <v>0</v>
      </c>
      <c r="E54" s="469">
        <f t="shared" si="28"/>
        <v>0</v>
      </c>
      <c r="F54" s="469">
        <f t="shared" si="28"/>
        <v>0</v>
      </c>
      <c r="G54" s="469">
        <f t="shared" si="28"/>
        <v>0</v>
      </c>
      <c r="H54" s="469">
        <f t="shared" si="28"/>
        <v>0</v>
      </c>
      <c r="I54" s="469">
        <f t="shared" si="28"/>
        <v>0</v>
      </c>
      <c r="J54" s="469">
        <f t="shared" si="28"/>
        <v>0</v>
      </c>
      <c r="K54" s="469">
        <f t="shared" si="28"/>
        <v>0</v>
      </c>
      <c r="L54" s="469">
        <f t="shared" si="28"/>
        <v>0</v>
      </c>
      <c r="M54" s="469">
        <f t="shared" si="28"/>
        <v>0</v>
      </c>
      <c r="N54" s="483">
        <f t="shared" si="28"/>
        <v>0</v>
      </c>
    </row>
    <row r="55" spans="1:14" s="6" customFormat="1" ht="16.5" thickBot="1">
      <c r="A55" s="7" t="s">
        <v>304</v>
      </c>
      <c r="B55" s="15"/>
      <c r="C55" s="471">
        <f t="shared" ref="C55:N55" si="29">C54*C3</f>
        <v>0</v>
      </c>
      <c r="D55" s="484">
        <f t="shared" si="29"/>
        <v>0</v>
      </c>
      <c r="E55" s="484">
        <f t="shared" si="29"/>
        <v>0</v>
      </c>
      <c r="F55" s="484">
        <f t="shared" si="29"/>
        <v>0</v>
      </c>
      <c r="G55" s="484">
        <f t="shared" si="29"/>
        <v>0</v>
      </c>
      <c r="H55" s="484">
        <f t="shared" si="29"/>
        <v>0</v>
      </c>
      <c r="I55" s="484">
        <f t="shared" si="29"/>
        <v>0</v>
      </c>
      <c r="J55" s="484">
        <f t="shared" si="29"/>
        <v>0</v>
      </c>
      <c r="K55" s="484">
        <f t="shared" si="29"/>
        <v>0</v>
      </c>
      <c r="L55" s="484">
        <f t="shared" si="29"/>
        <v>0</v>
      </c>
      <c r="M55" s="484">
        <f t="shared" si="29"/>
        <v>0</v>
      </c>
      <c r="N55" s="485">
        <f t="shared" si="29"/>
        <v>0</v>
      </c>
    </row>
    <row r="56" spans="1:14">
      <c r="A56" s="2"/>
      <c r="B56" s="13"/>
      <c r="C56" s="460"/>
      <c r="D56" s="462"/>
      <c r="E56" s="462"/>
      <c r="F56" s="462"/>
      <c r="G56" s="462"/>
      <c r="H56" s="462"/>
      <c r="I56" s="462"/>
      <c r="J56" s="462"/>
      <c r="K56" s="462"/>
      <c r="L56" s="462"/>
      <c r="M56" s="462"/>
      <c r="N56" s="437"/>
    </row>
    <row r="57" spans="1:14">
      <c r="A57" s="9" t="s">
        <v>9</v>
      </c>
      <c r="B57" s="13"/>
      <c r="C57" s="460"/>
      <c r="D57" s="462"/>
      <c r="E57" s="462"/>
      <c r="F57" s="462"/>
      <c r="G57" s="462"/>
      <c r="H57" s="462"/>
      <c r="I57" s="462"/>
      <c r="J57" s="462"/>
      <c r="K57" s="462"/>
      <c r="L57" s="462"/>
      <c r="M57" s="462"/>
      <c r="N57" s="437"/>
    </row>
    <row r="58" spans="1:14" outlineLevel="1">
      <c r="A58" s="3" t="s">
        <v>305</v>
      </c>
      <c r="B58" s="13"/>
      <c r="C58" s="487">
        <v>0.05</v>
      </c>
      <c r="D58" s="488">
        <v>0.05</v>
      </c>
      <c r="E58" s="488">
        <v>0.05</v>
      </c>
      <c r="F58" s="488">
        <v>0.05</v>
      </c>
      <c r="G58" s="488">
        <v>0.05</v>
      </c>
      <c r="H58" s="488">
        <v>0.05</v>
      </c>
      <c r="I58" s="488">
        <v>0.05</v>
      </c>
      <c r="J58" s="488">
        <v>0.05</v>
      </c>
      <c r="K58" s="488">
        <v>0.05</v>
      </c>
      <c r="L58" s="488">
        <v>0.05</v>
      </c>
      <c r="M58" s="488">
        <v>0.05</v>
      </c>
      <c r="N58" s="488">
        <v>0.05</v>
      </c>
    </row>
    <row r="59" spans="1:14" ht="17.45" customHeight="1" outlineLevel="1">
      <c r="A59" s="3" t="s">
        <v>306</v>
      </c>
      <c r="B59" s="13"/>
      <c r="C59" s="460">
        <f t="shared" ref="C59:N59" si="30">C3*C58</f>
        <v>100</v>
      </c>
      <c r="D59" s="462">
        <f t="shared" si="30"/>
        <v>143.1</v>
      </c>
      <c r="E59" s="462">
        <f t="shared" si="30"/>
        <v>212.14499999999998</v>
      </c>
      <c r="F59" s="462">
        <f t="shared" si="30"/>
        <v>314.14274999999998</v>
      </c>
      <c r="G59" s="462">
        <f t="shared" si="30"/>
        <v>465.19286250000005</v>
      </c>
      <c r="H59" s="462">
        <f t="shared" si="30"/>
        <v>688.840356875</v>
      </c>
      <c r="I59" s="462">
        <f t="shared" si="30"/>
        <v>1020.00798215625</v>
      </c>
      <c r="J59" s="462">
        <f t="shared" si="30"/>
        <v>1510.3496008921875</v>
      </c>
      <c r="K59" s="462">
        <f t="shared" si="30"/>
        <v>2236.3825199553908</v>
      </c>
      <c r="L59" s="462">
        <f t="shared" si="30"/>
        <v>3311.4308740022302</v>
      </c>
      <c r="M59" s="462">
        <f t="shared" si="30"/>
        <v>4903.2784562998886</v>
      </c>
      <c r="N59" s="437">
        <f t="shared" si="30"/>
        <v>7254.8360771850057</v>
      </c>
    </row>
    <row r="60" spans="1:14" outlineLevel="1">
      <c r="A60" s="3" t="s">
        <v>307</v>
      </c>
      <c r="B60" s="13"/>
      <c r="C60" s="464">
        <f>'Fee Structure'!$B$9</f>
        <v>9.99</v>
      </c>
      <c r="D60" s="464">
        <f>'Fee Structure'!$B$9</f>
        <v>9.99</v>
      </c>
      <c r="E60" s="464">
        <f>'Fee Structure'!$B$9</f>
        <v>9.99</v>
      </c>
      <c r="F60" s="464">
        <f>'Fee Structure'!$B$9</f>
        <v>9.99</v>
      </c>
      <c r="G60" s="464">
        <f>'Fee Structure'!$B$9</f>
        <v>9.99</v>
      </c>
      <c r="H60" s="464">
        <f>'Fee Structure'!$B$9</f>
        <v>9.99</v>
      </c>
      <c r="I60" s="464">
        <f>'Fee Structure'!$B$9</f>
        <v>9.99</v>
      </c>
      <c r="J60" s="464">
        <f>'Fee Structure'!$B$9</f>
        <v>9.99</v>
      </c>
      <c r="K60" s="464">
        <f>'Fee Structure'!$B$9</f>
        <v>9.99</v>
      </c>
      <c r="L60" s="464">
        <f>'Fee Structure'!$B$9</f>
        <v>9.99</v>
      </c>
      <c r="M60" s="464">
        <f>'Fee Structure'!$B$9</f>
        <v>9.99</v>
      </c>
      <c r="N60" s="465">
        <f>'Fee Structure'!$B$9</f>
        <v>9.99</v>
      </c>
    </row>
    <row r="61" spans="1:14" s="6" customFormat="1">
      <c r="A61" s="5" t="s">
        <v>308</v>
      </c>
      <c r="B61" s="14"/>
      <c r="C61" s="468">
        <f>C60</f>
        <v>9.99</v>
      </c>
      <c r="D61" s="469">
        <f>D60</f>
        <v>9.99</v>
      </c>
      <c r="E61" s="469">
        <f t="shared" ref="E61:N61" si="31">E60</f>
        <v>9.99</v>
      </c>
      <c r="F61" s="469">
        <f t="shared" si="31"/>
        <v>9.99</v>
      </c>
      <c r="G61" s="469">
        <f t="shared" si="31"/>
        <v>9.99</v>
      </c>
      <c r="H61" s="469">
        <f t="shared" si="31"/>
        <v>9.99</v>
      </c>
      <c r="I61" s="469">
        <f t="shared" si="31"/>
        <v>9.99</v>
      </c>
      <c r="J61" s="469">
        <f t="shared" si="31"/>
        <v>9.99</v>
      </c>
      <c r="K61" s="469">
        <f t="shared" si="31"/>
        <v>9.99</v>
      </c>
      <c r="L61" s="469">
        <f t="shared" si="31"/>
        <v>9.99</v>
      </c>
      <c r="M61" s="469">
        <f t="shared" si="31"/>
        <v>9.99</v>
      </c>
      <c r="N61" s="470">
        <f t="shared" si="31"/>
        <v>9.99</v>
      </c>
    </row>
    <row r="62" spans="1:14" s="6" customFormat="1" ht="16.5" thickBot="1">
      <c r="A62" s="7" t="s">
        <v>309</v>
      </c>
      <c r="B62" s="15"/>
      <c r="C62" s="471">
        <f t="shared" ref="C62:N62" si="32">C61*C59</f>
        <v>999</v>
      </c>
      <c r="D62" s="484">
        <f t="shared" si="32"/>
        <v>1429.569</v>
      </c>
      <c r="E62" s="484">
        <f t="shared" si="32"/>
        <v>2119.3285499999997</v>
      </c>
      <c r="F62" s="484">
        <f t="shared" si="32"/>
        <v>3138.2860725</v>
      </c>
      <c r="G62" s="484">
        <f t="shared" si="32"/>
        <v>4647.2766963750009</v>
      </c>
      <c r="H62" s="484">
        <f t="shared" si="32"/>
        <v>6881.5151651812503</v>
      </c>
      <c r="I62" s="484">
        <f t="shared" si="32"/>
        <v>10189.879741740939</v>
      </c>
      <c r="J62" s="484">
        <f t="shared" si="32"/>
        <v>15088.392512912953</v>
      </c>
      <c r="K62" s="484">
        <f t="shared" si="32"/>
        <v>22341.461374354356</v>
      </c>
      <c r="L62" s="484">
        <f t="shared" si="32"/>
        <v>33081.194431282282</v>
      </c>
      <c r="M62" s="484">
        <f t="shared" si="32"/>
        <v>48983.751778435886</v>
      </c>
      <c r="N62" s="485">
        <f t="shared" si="32"/>
        <v>72475.812411078208</v>
      </c>
    </row>
    <row r="63" spans="1:14">
      <c r="A63" s="3"/>
      <c r="B63" s="13"/>
      <c r="C63" s="460"/>
      <c r="D63" s="462"/>
      <c r="E63" s="462"/>
      <c r="F63" s="462"/>
      <c r="G63" s="462"/>
      <c r="H63" s="462"/>
      <c r="I63" s="462"/>
      <c r="J63" s="462"/>
      <c r="K63" s="462"/>
      <c r="L63" s="462"/>
      <c r="M63" s="462"/>
      <c r="N63" s="437"/>
    </row>
    <row r="64" spans="1:14" hidden="1">
      <c r="A64" s="9" t="s">
        <v>24</v>
      </c>
      <c r="B64" s="13"/>
      <c r="C64" s="460"/>
      <c r="D64" s="462"/>
      <c r="E64" s="462"/>
      <c r="F64" s="462"/>
      <c r="G64" s="462"/>
      <c r="H64" s="462"/>
      <c r="I64" s="462"/>
      <c r="J64" s="462"/>
      <c r="K64" s="462"/>
      <c r="L64" s="462"/>
      <c r="M64" s="462"/>
      <c r="N64" s="437"/>
    </row>
    <row r="65" spans="1:14" hidden="1" outlineLevel="1">
      <c r="A65" s="3" t="s">
        <v>310</v>
      </c>
      <c r="B65" s="13"/>
      <c r="C65" s="473">
        <f>C12*C13*C3</f>
        <v>0</v>
      </c>
      <c r="D65" s="474">
        <f t="shared" ref="D65:N65" si="33">D12*D13*D3</f>
        <v>1717200</v>
      </c>
      <c r="E65" s="474">
        <f t="shared" si="33"/>
        <v>2545740</v>
      </c>
      <c r="F65" s="474">
        <f t="shared" si="33"/>
        <v>3769712.9999999995</v>
      </c>
      <c r="G65" s="474">
        <f t="shared" si="33"/>
        <v>5582314.3500000006</v>
      </c>
      <c r="H65" s="474">
        <f t="shared" si="33"/>
        <v>8266084.2824999997</v>
      </c>
      <c r="I65" s="474">
        <f t="shared" si="33"/>
        <v>12240095.785875</v>
      </c>
      <c r="J65" s="474">
        <f t="shared" si="33"/>
        <v>18124195.210706249</v>
      </c>
      <c r="K65" s="474">
        <f t="shared" si="33"/>
        <v>26836590.239464689</v>
      </c>
      <c r="L65" s="474">
        <f t="shared" si="33"/>
        <v>39737170.488026761</v>
      </c>
      <c r="M65" s="474">
        <f t="shared" si="33"/>
        <v>58839341.475598663</v>
      </c>
      <c r="N65" s="475">
        <f t="shared" si="33"/>
        <v>87058032.926220074</v>
      </c>
    </row>
    <row r="66" spans="1:14" hidden="1" outlineLevel="1">
      <c r="A66" s="3" t="s">
        <v>311</v>
      </c>
      <c r="B66" s="13"/>
      <c r="C66" s="473">
        <f t="shared" ref="C66:N66" si="34">(C32*C33*C3)+(C42*C43*C3)</f>
        <v>480000</v>
      </c>
      <c r="D66" s="474">
        <f t="shared" si="34"/>
        <v>686880</v>
      </c>
      <c r="E66" s="474">
        <f t="shared" si="34"/>
        <v>1018295.9999999999</v>
      </c>
      <c r="F66" s="474">
        <f t="shared" si="34"/>
        <v>1507885.2</v>
      </c>
      <c r="G66" s="474">
        <f t="shared" si="34"/>
        <v>2232925.7400000002</v>
      </c>
      <c r="H66" s="474">
        <f t="shared" si="34"/>
        <v>3306433.713</v>
      </c>
      <c r="I66" s="474">
        <f t="shared" si="34"/>
        <v>4896038.3143499997</v>
      </c>
      <c r="J66" s="474">
        <f t="shared" si="34"/>
        <v>7249678.0842824997</v>
      </c>
      <c r="K66" s="474">
        <f t="shared" si="34"/>
        <v>10734636.095785875</v>
      </c>
      <c r="L66" s="474">
        <f t="shared" si="34"/>
        <v>15894868.195210705</v>
      </c>
      <c r="M66" s="474">
        <f t="shared" si="34"/>
        <v>23535736.590239465</v>
      </c>
      <c r="N66" s="475">
        <f t="shared" si="34"/>
        <v>34823213.17048803</v>
      </c>
    </row>
    <row r="67" spans="1:14" hidden="1" outlineLevel="1">
      <c r="A67" s="3" t="s">
        <v>312</v>
      </c>
      <c r="B67" s="13"/>
      <c r="C67" s="473">
        <f>C65-C66</f>
        <v>-480000</v>
      </c>
      <c r="D67" s="474">
        <f>D65-D66+C67</f>
        <v>550320</v>
      </c>
      <c r="E67" s="474">
        <f t="shared" ref="E67:N67" si="35">E65-E66+D67</f>
        <v>2077764</v>
      </c>
      <c r="F67" s="474">
        <f t="shared" si="35"/>
        <v>4339591.8</v>
      </c>
      <c r="G67" s="474">
        <f t="shared" si="35"/>
        <v>7688980.4100000001</v>
      </c>
      <c r="H67" s="474">
        <f t="shared" si="35"/>
        <v>12648630.979499999</v>
      </c>
      <c r="I67" s="474">
        <f t="shared" si="35"/>
        <v>19992688.451025002</v>
      </c>
      <c r="J67" s="474">
        <f t="shared" si="35"/>
        <v>30867205.577448752</v>
      </c>
      <c r="K67" s="474">
        <f t="shared" si="35"/>
        <v>46969159.72112757</v>
      </c>
      <c r="L67" s="474">
        <f t="shared" si="35"/>
        <v>70811462.013943627</v>
      </c>
      <c r="M67" s="474">
        <f t="shared" si="35"/>
        <v>106115066.89930283</v>
      </c>
      <c r="N67" s="475">
        <f t="shared" si="35"/>
        <v>158349886.65503487</v>
      </c>
    </row>
    <row r="68" spans="1:14" hidden="1" outlineLevel="1">
      <c r="A68" s="3" t="s">
        <v>313</v>
      </c>
      <c r="B68" s="13" t="s">
        <v>314</v>
      </c>
      <c r="C68" s="489">
        <v>0.5</v>
      </c>
      <c r="D68" s="488">
        <v>0.5</v>
      </c>
      <c r="E68" s="488">
        <v>0.5</v>
      </c>
      <c r="F68" s="488">
        <v>0.5</v>
      </c>
      <c r="G68" s="488">
        <v>0.5</v>
      </c>
      <c r="H68" s="488">
        <v>0.5</v>
      </c>
      <c r="I68" s="488">
        <v>0.5</v>
      </c>
      <c r="J68" s="488">
        <v>0.5</v>
      </c>
      <c r="K68" s="488">
        <v>0.5</v>
      </c>
      <c r="L68" s="488">
        <v>0.5</v>
      </c>
      <c r="M68" s="488">
        <v>0.5</v>
      </c>
      <c r="N68" s="490">
        <v>0.5</v>
      </c>
    </row>
    <row r="69" spans="1:14" hidden="1" outlineLevel="1">
      <c r="A69" s="3" t="s">
        <v>315</v>
      </c>
      <c r="B69" s="13" t="s">
        <v>316</v>
      </c>
      <c r="C69" s="487">
        <f>1-C68</f>
        <v>0.5</v>
      </c>
      <c r="D69" s="488">
        <f t="shared" ref="D69:N69" si="36">1-D68</f>
        <v>0.5</v>
      </c>
      <c r="E69" s="488">
        <f t="shared" si="36"/>
        <v>0.5</v>
      </c>
      <c r="F69" s="488">
        <f t="shared" si="36"/>
        <v>0.5</v>
      </c>
      <c r="G69" s="488">
        <f t="shared" si="36"/>
        <v>0.5</v>
      </c>
      <c r="H69" s="488">
        <f t="shared" si="36"/>
        <v>0.5</v>
      </c>
      <c r="I69" s="488">
        <f t="shared" si="36"/>
        <v>0.5</v>
      </c>
      <c r="J69" s="488">
        <f t="shared" si="36"/>
        <v>0.5</v>
      </c>
      <c r="K69" s="488">
        <f t="shared" si="36"/>
        <v>0.5</v>
      </c>
      <c r="L69" s="488">
        <f t="shared" si="36"/>
        <v>0.5</v>
      </c>
      <c r="M69" s="488">
        <f t="shared" si="36"/>
        <v>0.5</v>
      </c>
      <c r="N69" s="490">
        <f t="shared" si="36"/>
        <v>0.5</v>
      </c>
    </row>
    <row r="70" spans="1:14" hidden="1" outlineLevel="1">
      <c r="A70" s="3" t="s">
        <v>317</v>
      </c>
      <c r="B70" s="13" t="s">
        <v>210</v>
      </c>
      <c r="C70" s="491">
        <f>'Fee Structure'!$B$11</f>
        <v>0</v>
      </c>
      <c r="D70" s="491">
        <f>'Fee Structure'!$B$11</f>
        <v>0</v>
      </c>
      <c r="E70" s="491">
        <f>'Fee Structure'!$B$11</f>
        <v>0</v>
      </c>
      <c r="F70" s="491">
        <f>'Fee Structure'!$B$11</f>
        <v>0</v>
      </c>
      <c r="G70" s="491">
        <f>'Fee Structure'!$B$11</f>
        <v>0</v>
      </c>
      <c r="H70" s="491">
        <f>'Fee Structure'!$B$11</f>
        <v>0</v>
      </c>
      <c r="I70" s="491">
        <f>'Fee Structure'!$B$11</f>
        <v>0</v>
      </c>
      <c r="J70" s="491">
        <f>'Fee Structure'!$B$11</f>
        <v>0</v>
      </c>
      <c r="K70" s="491">
        <f>'Fee Structure'!$B$11</f>
        <v>0</v>
      </c>
      <c r="L70" s="491">
        <f>'Fee Structure'!$B$11</f>
        <v>0</v>
      </c>
      <c r="M70" s="491">
        <f>'Fee Structure'!$B$11</f>
        <v>0</v>
      </c>
      <c r="N70" s="492">
        <f>'Fee Structure'!$B$11</f>
        <v>0</v>
      </c>
    </row>
    <row r="71" spans="1:14" hidden="1" outlineLevel="1">
      <c r="A71" s="3" t="s">
        <v>318</v>
      </c>
      <c r="B71" s="13"/>
      <c r="C71" s="473">
        <f>C67*C69</f>
        <v>-240000</v>
      </c>
      <c r="D71" s="464">
        <f>(D67*D69)-(C71)</f>
        <v>515160</v>
      </c>
      <c r="E71" s="464">
        <f t="shared" ref="E71:N71" si="37">(E67*E69)-(D71)</f>
        <v>523722</v>
      </c>
      <c r="F71" s="464">
        <f t="shared" si="37"/>
        <v>1646073.9</v>
      </c>
      <c r="G71" s="464">
        <f t="shared" si="37"/>
        <v>2198416.3050000002</v>
      </c>
      <c r="H71" s="464">
        <f t="shared" si="37"/>
        <v>4125899.1847499995</v>
      </c>
      <c r="I71" s="464">
        <f t="shared" si="37"/>
        <v>5870445.0407625008</v>
      </c>
      <c r="J71" s="464">
        <f t="shared" si="37"/>
        <v>9563157.7479618751</v>
      </c>
      <c r="K71" s="464">
        <f t="shared" si="37"/>
        <v>13921422.11260191</v>
      </c>
      <c r="L71" s="464">
        <f t="shared" si="37"/>
        <v>21484308.894369904</v>
      </c>
      <c r="M71" s="464">
        <f t="shared" si="37"/>
        <v>31573224.555281509</v>
      </c>
      <c r="N71" s="464">
        <f t="shared" si="37"/>
        <v>47601718.77223593</v>
      </c>
    </row>
    <row r="72" spans="1:14" hidden="1" outlineLevel="1">
      <c r="A72" s="3" t="s">
        <v>57</v>
      </c>
      <c r="B72" s="13"/>
      <c r="C72" s="493">
        <v>12</v>
      </c>
      <c r="D72" s="493">
        <v>11</v>
      </c>
      <c r="E72" s="493">
        <v>10</v>
      </c>
      <c r="F72" s="493">
        <v>9</v>
      </c>
      <c r="G72" s="493">
        <v>8</v>
      </c>
      <c r="H72" s="493">
        <v>7</v>
      </c>
      <c r="I72" s="493">
        <v>6</v>
      </c>
      <c r="J72" s="493">
        <v>5</v>
      </c>
      <c r="K72" s="493">
        <v>4</v>
      </c>
      <c r="L72" s="493">
        <v>3</v>
      </c>
      <c r="M72" s="493">
        <v>2</v>
      </c>
      <c r="N72" s="493">
        <v>1</v>
      </c>
    </row>
    <row r="73" spans="1:14" hidden="1" outlineLevel="1">
      <c r="A73" s="3" t="s">
        <v>58</v>
      </c>
      <c r="B73" s="13"/>
      <c r="C73" s="481">
        <f>C70*(C72/12)</f>
        <v>0</v>
      </c>
      <c r="D73" s="481">
        <f t="shared" ref="D73:N73" si="38">D70*(D72/12)</f>
        <v>0</v>
      </c>
      <c r="E73" s="481">
        <f t="shared" si="38"/>
        <v>0</v>
      </c>
      <c r="F73" s="481">
        <f t="shared" si="38"/>
        <v>0</v>
      </c>
      <c r="G73" s="481">
        <f t="shared" si="38"/>
        <v>0</v>
      </c>
      <c r="H73" s="481">
        <f t="shared" si="38"/>
        <v>0</v>
      </c>
      <c r="I73" s="481">
        <f t="shared" si="38"/>
        <v>0</v>
      </c>
      <c r="J73" s="481">
        <f t="shared" si="38"/>
        <v>0</v>
      </c>
      <c r="K73" s="481">
        <f t="shared" si="38"/>
        <v>0</v>
      </c>
      <c r="L73" s="481">
        <f t="shared" si="38"/>
        <v>0</v>
      </c>
      <c r="M73" s="481">
        <f t="shared" si="38"/>
        <v>0</v>
      </c>
      <c r="N73" s="481">
        <f t="shared" si="38"/>
        <v>0</v>
      </c>
    </row>
    <row r="74" spans="1:14" hidden="1" outlineLevel="1">
      <c r="A74" s="3" t="s">
        <v>319</v>
      </c>
      <c r="B74" s="48" t="s">
        <v>320</v>
      </c>
      <c r="C74" s="474">
        <f>(C71)*(C73)</f>
        <v>0</v>
      </c>
      <c r="D74" s="474">
        <f t="shared" ref="D74:N74" si="39">(D71)*(D73)</f>
        <v>0</v>
      </c>
      <c r="E74" s="474">
        <f t="shared" si="39"/>
        <v>0</v>
      </c>
      <c r="F74" s="474">
        <f t="shared" si="39"/>
        <v>0</v>
      </c>
      <c r="G74" s="474">
        <f t="shared" si="39"/>
        <v>0</v>
      </c>
      <c r="H74" s="474">
        <f t="shared" si="39"/>
        <v>0</v>
      </c>
      <c r="I74" s="474">
        <f t="shared" si="39"/>
        <v>0</v>
      </c>
      <c r="J74" s="474">
        <f t="shared" si="39"/>
        <v>0</v>
      </c>
      <c r="K74" s="474">
        <f t="shared" si="39"/>
        <v>0</v>
      </c>
      <c r="L74" s="474">
        <f t="shared" si="39"/>
        <v>0</v>
      </c>
      <c r="M74" s="474">
        <f t="shared" si="39"/>
        <v>0</v>
      </c>
      <c r="N74" s="474">
        <f t="shared" si="39"/>
        <v>0</v>
      </c>
    </row>
    <row r="75" spans="1:14" s="6" customFormat="1" ht="16.5" hidden="1" collapsed="1" thickBot="1">
      <c r="A75" s="7" t="s">
        <v>321</v>
      </c>
      <c r="B75" s="15"/>
      <c r="C75" s="471">
        <f>C74</f>
        <v>0</v>
      </c>
      <c r="D75" s="484">
        <f t="shared" ref="D75:N75" si="40">D74</f>
        <v>0</v>
      </c>
      <c r="E75" s="484">
        <f t="shared" si="40"/>
        <v>0</v>
      </c>
      <c r="F75" s="484">
        <f t="shared" si="40"/>
        <v>0</v>
      </c>
      <c r="G75" s="484">
        <f t="shared" si="40"/>
        <v>0</v>
      </c>
      <c r="H75" s="484">
        <f t="shared" si="40"/>
        <v>0</v>
      </c>
      <c r="I75" s="484">
        <f t="shared" si="40"/>
        <v>0</v>
      </c>
      <c r="J75" s="484">
        <f t="shared" si="40"/>
        <v>0</v>
      </c>
      <c r="K75" s="484">
        <f t="shared" si="40"/>
        <v>0</v>
      </c>
      <c r="L75" s="484">
        <f t="shared" si="40"/>
        <v>0</v>
      </c>
      <c r="M75" s="484">
        <f t="shared" si="40"/>
        <v>0</v>
      </c>
      <c r="N75" s="485">
        <f t="shared" si="40"/>
        <v>0</v>
      </c>
    </row>
    <row r="76" spans="1:14" s="6" customFormat="1">
      <c r="A76" s="5"/>
      <c r="B76" s="14"/>
      <c r="C76" s="468"/>
      <c r="D76" s="469"/>
      <c r="E76" s="469"/>
      <c r="F76" s="469"/>
      <c r="G76" s="469"/>
      <c r="H76" s="469"/>
      <c r="I76" s="469"/>
      <c r="J76" s="469"/>
      <c r="K76" s="469"/>
      <c r="L76" s="469"/>
      <c r="M76" s="469"/>
      <c r="N76" s="483"/>
    </row>
    <row r="77" spans="1:14">
      <c r="A77" s="9" t="s">
        <v>322</v>
      </c>
      <c r="B77" s="14"/>
      <c r="C77" s="468">
        <f>C20+C28+C38+C46+C54+(C58*C61)</f>
        <v>5.1295000000000002</v>
      </c>
      <c r="D77" s="468">
        <f t="shared" ref="D77:N77" si="41">D20+D28+D38+D46+D54+(D58*D61)</f>
        <v>5.1295000000000002</v>
      </c>
      <c r="E77" s="468">
        <f t="shared" si="41"/>
        <v>5.1295000000000002</v>
      </c>
      <c r="F77" s="468">
        <f t="shared" si="41"/>
        <v>5.1295000000000002</v>
      </c>
      <c r="G77" s="468">
        <f t="shared" si="41"/>
        <v>5.1295000000000002</v>
      </c>
      <c r="H77" s="468">
        <f t="shared" si="41"/>
        <v>5.1295000000000002</v>
      </c>
      <c r="I77" s="468">
        <f t="shared" si="41"/>
        <v>5.1295000000000002</v>
      </c>
      <c r="J77" s="468">
        <f t="shared" si="41"/>
        <v>5.1295000000000002</v>
      </c>
      <c r="K77" s="468">
        <f t="shared" si="41"/>
        <v>5.1295000000000002</v>
      </c>
      <c r="L77" s="468">
        <f t="shared" si="41"/>
        <v>5.1295000000000002</v>
      </c>
      <c r="M77" s="468">
        <f t="shared" si="41"/>
        <v>5.1295000000000002</v>
      </c>
      <c r="N77" s="468">
        <f t="shared" si="41"/>
        <v>5.1295000000000002</v>
      </c>
    </row>
    <row r="78" spans="1:14">
      <c r="A78" s="9" t="s">
        <v>323</v>
      </c>
      <c r="B78" s="14"/>
      <c r="C78" s="468">
        <f t="shared" ref="C78:N78" si="42">C9+C21+C29+C39+C47+C55+C62</f>
        <v>10259</v>
      </c>
      <c r="D78" s="469">
        <f t="shared" si="42"/>
        <v>38721.008999999998</v>
      </c>
      <c r="E78" s="469">
        <f t="shared" si="42"/>
        <v>57349.715549999986</v>
      </c>
      <c r="F78" s="469">
        <f t="shared" si="42"/>
        <v>84931.814722499999</v>
      </c>
      <c r="G78" s="469">
        <f t="shared" si="42"/>
        <v>125767.90576387499</v>
      </c>
      <c r="H78" s="469">
        <f t="shared" si="42"/>
        <v>186221.89221180626</v>
      </c>
      <c r="I78" s="469">
        <f t="shared" si="42"/>
        <v>275749.14888940967</v>
      </c>
      <c r="J78" s="469">
        <f t="shared" si="42"/>
        <v>408295.38555552956</v>
      </c>
      <c r="K78" s="469">
        <f t="shared" si="42"/>
        <v>604555.3727222234</v>
      </c>
      <c r="L78" s="469">
        <f t="shared" si="42"/>
        <v>895172.42336388875</v>
      </c>
      <c r="M78" s="469">
        <f t="shared" si="42"/>
        <v>1325498.2168318057</v>
      </c>
      <c r="N78" s="483">
        <f t="shared" si="42"/>
        <v>1959362.40315841</v>
      </c>
    </row>
    <row r="79" spans="1:14">
      <c r="A79" s="9" t="s">
        <v>324</v>
      </c>
      <c r="B79" s="14"/>
      <c r="C79" s="468">
        <f t="shared" ref="C79:N79" si="43">C75</f>
        <v>0</v>
      </c>
      <c r="D79" s="469">
        <f t="shared" si="43"/>
        <v>0</v>
      </c>
      <c r="E79" s="469">
        <f t="shared" si="43"/>
        <v>0</v>
      </c>
      <c r="F79" s="469">
        <f t="shared" si="43"/>
        <v>0</v>
      </c>
      <c r="G79" s="469">
        <f t="shared" si="43"/>
        <v>0</v>
      </c>
      <c r="H79" s="469">
        <f t="shared" si="43"/>
        <v>0</v>
      </c>
      <c r="I79" s="469">
        <f t="shared" si="43"/>
        <v>0</v>
      </c>
      <c r="J79" s="469">
        <f t="shared" si="43"/>
        <v>0</v>
      </c>
      <c r="K79" s="469">
        <f t="shared" si="43"/>
        <v>0</v>
      </c>
      <c r="L79" s="469">
        <f t="shared" si="43"/>
        <v>0</v>
      </c>
      <c r="M79" s="469">
        <f t="shared" si="43"/>
        <v>0</v>
      </c>
      <c r="N79" s="483">
        <f t="shared" si="43"/>
        <v>0</v>
      </c>
    </row>
    <row r="80" spans="1:14">
      <c r="A80" s="9" t="s">
        <v>325</v>
      </c>
      <c r="B80" s="14"/>
      <c r="C80" s="468">
        <f t="shared" ref="C80:N80" si="44">SUM(C78:C79)</f>
        <v>10259</v>
      </c>
      <c r="D80" s="468">
        <f t="shared" si="44"/>
        <v>38721.008999999998</v>
      </c>
      <c r="E80" s="468">
        <f t="shared" si="44"/>
        <v>57349.715549999986</v>
      </c>
      <c r="F80" s="468">
        <f t="shared" si="44"/>
        <v>84931.814722499999</v>
      </c>
      <c r="G80" s="468">
        <f t="shared" si="44"/>
        <v>125767.90576387499</v>
      </c>
      <c r="H80" s="468">
        <f t="shared" si="44"/>
        <v>186221.89221180626</v>
      </c>
      <c r="I80" s="468">
        <f t="shared" si="44"/>
        <v>275749.14888940967</v>
      </c>
      <c r="J80" s="468">
        <f t="shared" si="44"/>
        <v>408295.38555552956</v>
      </c>
      <c r="K80" s="468">
        <f t="shared" si="44"/>
        <v>604555.3727222234</v>
      </c>
      <c r="L80" s="468">
        <f t="shared" si="44"/>
        <v>895172.42336388875</v>
      </c>
      <c r="M80" s="468">
        <f t="shared" si="44"/>
        <v>1325498.2168318057</v>
      </c>
      <c r="N80" s="468">
        <f t="shared" si="44"/>
        <v>1959362.40315841</v>
      </c>
    </row>
    <row r="81" spans="1:14" ht="16.5" thickBot="1">
      <c r="A81" s="11" t="s">
        <v>326</v>
      </c>
      <c r="B81" s="17"/>
      <c r="C81" s="494">
        <f>C80</f>
        <v>10259</v>
      </c>
      <c r="D81" s="495">
        <f>D80+C81</f>
        <v>48980.008999999998</v>
      </c>
      <c r="E81" s="495">
        <f t="shared" ref="E81:N81" si="45">E80+D81</f>
        <v>106329.72454999998</v>
      </c>
      <c r="F81" s="495">
        <f t="shared" si="45"/>
        <v>191261.53927249997</v>
      </c>
      <c r="G81" s="495">
        <f t="shared" si="45"/>
        <v>317029.44503637496</v>
      </c>
      <c r="H81" s="495">
        <f t="shared" si="45"/>
        <v>503251.33724818123</v>
      </c>
      <c r="I81" s="495">
        <f t="shared" si="45"/>
        <v>779000.48613759084</v>
      </c>
      <c r="J81" s="495">
        <f t="shared" si="45"/>
        <v>1187295.8716931203</v>
      </c>
      <c r="K81" s="495">
        <f t="shared" si="45"/>
        <v>1791851.2444153437</v>
      </c>
      <c r="L81" s="495">
        <f t="shared" si="45"/>
        <v>2687023.6677792324</v>
      </c>
      <c r="M81" s="495">
        <f t="shared" si="45"/>
        <v>4012521.884611038</v>
      </c>
      <c r="N81" s="496">
        <f t="shared" si="45"/>
        <v>5971884.287769448</v>
      </c>
    </row>
    <row r="82" spans="1:14" ht="16.5" thickTop="1"/>
  </sheetData>
  <sheetProtection algorithmName="SHA-512" hashValue="HlA0EQmvBDSaBypI8Pz0LikVFwKisvd06pKR2p1Bb9WRxYDpB6LiM8W1qaDZt8g9avYd/TTBKJwfLogX6IGr+Q==" saltValue="yr4B7wHvYMmgMm6rOenX8w==" spinCount="100000" sheet="1" objects="1" scenarios="1"/>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A12FC-D76C-0E4E-9127-3FE17CDC11EC}">
  <dimension ref="A1:N84"/>
  <sheetViews>
    <sheetView showGridLines="0" topLeftCell="A10" zoomScale="75" workbookViewId="0">
      <selection activeCell="B24" sqref="B24"/>
    </sheetView>
  </sheetViews>
  <sheetFormatPr defaultColWidth="11" defaultRowHeight="15.75" outlineLevelRow="1"/>
  <cols>
    <col min="1" max="1" width="50.375" bestFit="1" customWidth="1"/>
    <col min="2" max="2" width="45.75" bestFit="1" customWidth="1"/>
    <col min="3" max="5" width="15.375" bestFit="1" customWidth="1"/>
    <col min="6" max="10" width="16.375" bestFit="1" customWidth="1"/>
    <col min="11" max="14" width="17.375" bestFit="1" customWidth="1"/>
  </cols>
  <sheetData>
    <row r="1" spans="1:14">
      <c r="A1" s="33" t="s">
        <v>186</v>
      </c>
      <c r="B1" s="33" t="s">
        <v>174</v>
      </c>
      <c r="C1" s="36" t="s">
        <v>243</v>
      </c>
      <c r="D1" s="36" t="s">
        <v>244</v>
      </c>
      <c r="E1" s="36" t="s">
        <v>245</v>
      </c>
      <c r="F1" s="36" t="s">
        <v>246</v>
      </c>
      <c r="G1" s="36" t="s">
        <v>247</v>
      </c>
      <c r="H1" s="36" t="s">
        <v>248</v>
      </c>
      <c r="I1" s="36" t="s">
        <v>249</v>
      </c>
      <c r="J1" s="36" t="s">
        <v>250</v>
      </c>
      <c r="K1" s="36" t="s">
        <v>251</v>
      </c>
      <c r="L1" s="36" t="s">
        <v>252</v>
      </c>
      <c r="M1" s="36" t="s">
        <v>253</v>
      </c>
      <c r="N1" s="37" t="s">
        <v>254</v>
      </c>
    </row>
    <row r="2" spans="1:14">
      <c r="A2" s="1" t="s">
        <v>255</v>
      </c>
      <c r="B2" s="39" t="s">
        <v>327</v>
      </c>
      <c r="C2" s="1">
        <v>2000</v>
      </c>
      <c r="D2" s="38">
        <f>ROUNDUP((C2*1.4807),0)</f>
        <v>2962</v>
      </c>
      <c r="E2" s="38">
        <f t="shared" ref="E2:M2" si="0">ROUNDUP((D2*1.4807),0)</f>
        <v>4386</v>
      </c>
      <c r="F2" s="38">
        <f t="shared" si="0"/>
        <v>6495</v>
      </c>
      <c r="G2" s="38">
        <f t="shared" si="0"/>
        <v>9618</v>
      </c>
      <c r="H2" s="38">
        <f t="shared" si="0"/>
        <v>14242</v>
      </c>
      <c r="I2" s="38">
        <f t="shared" si="0"/>
        <v>21089</v>
      </c>
      <c r="J2" s="38">
        <f t="shared" si="0"/>
        <v>31227</v>
      </c>
      <c r="K2" s="38">
        <f t="shared" si="0"/>
        <v>46238</v>
      </c>
      <c r="L2" s="38">
        <f t="shared" si="0"/>
        <v>68465</v>
      </c>
      <c r="M2" s="38">
        <f t="shared" si="0"/>
        <v>101377</v>
      </c>
      <c r="N2" s="31">
        <v>150000</v>
      </c>
    </row>
    <row r="3" spans="1:14" s="354" customFormat="1">
      <c r="A3" s="394" t="s">
        <v>257</v>
      </c>
      <c r="B3" s="352" t="s">
        <v>258</v>
      </c>
      <c r="C3" s="353">
        <v>2000</v>
      </c>
      <c r="D3" s="395">
        <f t="shared" ref="D3:N3" si="1">D2-(C3*0.05)</f>
        <v>2862</v>
      </c>
      <c r="E3" s="395">
        <f t="shared" si="1"/>
        <v>4242.8999999999996</v>
      </c>
      <c r="F3" s="395">
        <f t="shared" si="1"/>
        <v>6282.8549999999996</v>
      </c>
      <c r="G3" s="395">
        <f t="shared" si="1"/>
        <v>9303.8572500000009</v>
      </c>
      <c r="H3" s="395">
        <f t="shared" si="1"/>
        <v>13776.8071375</v>
      </c>
      <c r="I3" s="395">
        <f t="shared" si="1"/>
        <v>20400.159643125</v>
      </c>
      <c r="J3" s="395">
        <f t="shared" si="1"/>
        <v>30206.99201784375</v>
      </c>
      <c r="K3" s="395">
        <f t="shared" si="1"/>
        <v>44727.650399107813</v>
      </c>
      <c r="L3" s="395">
        <f t="shared" si="1"/>
        <v>66228.617480044602</v>
      </c>
      <c r="M3" s="395">
        <f t="shared" si="1"/>
        <v>98065.569125997776</v>
      </c>
      <c r="N3" s="396">
        <f t="shared" si="1"/>
        <v>145096.72154370011</v>
      </c>
    </row>
    <row r="4" spans="1:14">
      <c r="A4" s="5"/>
      <c r="B4" s="13"/>
      <c r="C4" s="1"/>
      <c r="D4" s="38"/>
      <c r="E4" s="38"/>
      <c r="F4" s="38"/>
      <c r="G4" s="38"/>
      <c r="H4" s="38"/>
      <c r="I4" s="38"/>
      <c r="J4" s="38"/>
      <c r="K4" s="38"/>
      <c r="L4" s="38"/>
      <c r="M4" s="38"/>
      <c r="N4" s="365"/>
    </row>
    <row r="5" spans="1:14">
      <c r="A5" s="9" t="s">
        <v>21</v>
      </c>
      <c r="B5" s="13"/>
      <c r="C5" s="2"/>
      <c r="D5" s="2"/>
      <c r="E5" s="2"/>
      <c r="F5" s="2"/>
      <c r="G5" s="2"/>
      <c r="H5" s="2"/>
      <c r="I5" s="2"/>
      <c r="J5" s="2"/>
      <c r="K5" s="2"/>
      <c r="L5" s="2"/>
      <c r="M5" s="2"/>
      <c r="N5" s="21"/>
    </row>
    <row r="6" spans="1:14" outlineLevel="1">
      <c r="A6" s="3" t="s">
        <v>261</v>
      </c>
      <c r="B6" s="13" t="s">
        <v>262</v>
      </c>
      <c r="C6" s="2">
        <f>C2</f>
        <v>2000</v>
      </c>
      <c r="D6" s="20">
        <f t="shared" ref="D6:N6" si="2">D2-C2</f>
        <v>962</v>
      </c>
      <c r="E6" s="20">
        <f t="shared" si="2"/>
        <v>1424</v>
      </c>
      <c r="F6" s="20">
        <f t="shared" si="2"/>
        <v>2109</v>
      </c>
      <c r="G6" s="20">
        <f t="shared" si="2"/>
        <v>3123</v>
      </c>
      <c r="H6" s="20">
        <f t="shared" si="2"/>
        <v>4624</v>
      </c>
      <c r="I6" s="20">
        <f t="shared" si="2"/>
        <v>6847</v>
      </c>
      <c r="J6" s="20">
        <f t="shared" si="2"/>
        <v>10138</v>
      </c>
      <c r="K6" s="20">
        <f t="shared" si="2"/>
        <v>15011</v>
      </c>
      <c r="L6" s="20">
        <f t="shared" si="2"/>
        <v>22227</v>
      </c>
      <c r="M6" s="20">
        <f t="shared" si="2"/>
        <v>32912</v>
      </c>
      <c r="N6" s="25">
        <f t="shared" si="2"/>
        <v>48623</v>
      </c>
    </row>
    <row r="7" spans="1:14" outlineLevel="1">
      <c r="A7" s="3" t="s">
        <v>328</v>
      </c>
      <c r="B7" s="13" t="s">
        <v>329</v>
      </c>
      <c r="C7" s="43">
        <f>'Cost Structure'!$B13</f>
        <v>5.1539999999999999</v>
      </c>
      <c r="D7" s="43">
        <f>'Cost Structure'!$B13</f>
        <v>5.1539999999999999</v>
      </c>
      <c r="E7" s="43">
        <f>'Cost Structure'!$B13</f>
        <v>5.1539999999999999</v>
      </c>
      <c r="F7" s="43">
        <f>'Cost Structure'!$B13</f>
        <v>5.1539999999999999</v>
      </c>
      <c r="G7" s="43">
        <f>'Cost Structure'!$B13</f>
        <v>5.1539999999999999</v>
      </c>
      <c r="H7" s="43">
        <f>'Cost Structure'!$B13</f>
        <v>5.1539999999999999</v>
      </c>
      <c r="I7" s="43">
        <f>'Cost Structure'!$B13</f>
        <v>5.1539999999999999</v>
      </c>
      <c r="J7" s="43">
        <f>'Cost Structure'!$B13</f>
        <v>5.1539999999999999</v>
      </c>
      <c r="K7" s="43">
        <f>'Cost Structure'!$B13</f>
        <v>5.1539999999999999</v>
      </c>
      <c r="L7" s="43">
        <f>'Cost Structure'!$B13</f>
        <v>5.1539999999999999</v>
      </c>
      <c r="M7" s="43">
        <f>'Cost Structure'!$B13</f>
        <v>5.1539999999999999</v>
      </c>
      <c r="N7" s="46">
        <f>'Cost Structure'!$B13</f>
        <v>5.1539999999999999</v>
      </c>
    </row>
    <row r="8" spans="1:14" outlineLevel="1">
      <c r="A8" s="3" t="s">
        <v>330</v>
      </c>
      <c r="B8" s="13" t="s">
        <v>329</v>
      </c>
      <c r="C8" s="43">
        <f>'Cost Structure'!$B14</f>
        <v>2.2000000000000002</v>
      </c>
      <c r="D8" s="43">
        <f>'Cost Structure'!$B14</f>
        <v>2.2000000000000002</v>
      </c>
      <c r="E8" s="43">
        <f>'Cost Structure'!$B14</f>
        <v>2.2000000000000002</v>
      </c>
      <c r="F8" s="43">
        <f>'Cost Structure'!$B14</f>
        <v>2.2000000000000002</v>
      </c>
      <c r="G8" s="43">
        <f>'Cost Structure'!$B14</f>
        <v>2.2000000000000002</v>
      </c>
      <c r="H8" s="43">
        <f>'Cost Structure'!$B14</f>
        <v>2.2000000000000002</v>
      </c>
      <c r="I8" s="43">
        <f>'Cost Structure'!$B14</f>
        <v>2.2000000000000002</v>
      </c>
      <c r="J8" s="43">
        <f>'Cost Structure'!$B14</f>
        <v>2.2000000000000002</v>
      </c>
      <c r="K8" s="43">
        <f>'Cost Structure'!$B14</f>
        <v>2.2000000000000002</v>
      </c>
      <c r="L8" s="43">
        <f>'Cost Structure'!$B14</f>
        <v>2.2000000000000002</v>
      </c>
      <c r="M8" s="43">
        <f>'Cost Structure'!$B14</f>
        <v>2.2000000000000002</v>
      </c>
      <c r="N8" s="46">
        <f>'Cost Structure'!$B14</f>
        <v>2.2000000000000002</v>
      </c>
    </row>
    <row r="9" spans="1:14" outlineLevel="1">
      <c r="A9" s="3" t="s">
        <v>331</v>
      </c>
      <c r="B9" s="13" t="s">
        <v>329</v>
      </c>
      <c r="C9" s="43">
        <f>'Cost Structure'!$B15</f>
        <v>5</v>
      </c>
      <c r="D9" s="43">
        <f>'Cost Structure'!$B15</f>
        <v>5</v>
      </c>
      <c r="E9" s="43">
        <f>'Cost Structure'!$B15</f>
        <v>5</v>
      </c>
      <c r="F9" s="43">
        <f>'Cost Structure'!$B15</f>
        <v>5</v>
      </c>
      <c r="G9" s="43">
        <f>'Cost Structure'!$B15</f>
        <v>5</v>
      </c>
      <c r="H9" s="43">
        <f>'Cost Structure'!$B15</f>
        <v>5</v>
      </c>
      <c r="I9" s="43">
        <f>'Cost Structure'!$B15</f>
        <v>5</v>
      </c>
      <c r="J9" s="43">
        <f>'Cost Structure'!$B15</f>
        <v>5</v>
      </c>
      <c r="K9" s="43">
        <f>'Cost Structure'!$B15</f>
        <v>5</v>
      </c>
      <c r="L9" s="43">
        <f>'Cost Structure'!$B15</f>
        <v>5</v>
      </c>
      <c r="M9" s="43">
        <f>'Cost Structure'!$B15</f>
        <v>5</v>
      </c>
      <c r="N9" s="46">
        <f>'Cost Structure'!$B15</f>
        <v>5</v>
      </c>
    </row>
    <row r="10" spans="1:14" s="6" customFormat="1">
      <c r="A10" s="5" t="s">
        <v>332</v>
      </c>
      <c r="B10" s="14"/>
      <c r="C10" s="18">
        <f>SUM(C7:C9)</f>
        <v>12.353999999999999</v>
      </c>
      <c r="D10" s="18">
        <f>SUM(D7:D9)</f>
        <v>12.353999999999999</v>
      </c>
      <c r="E10" s="18">
        <f t="shared" ref="E10:N10" si="3">SUM(E7:E9)</f>
        <v>12.353999999999999</v>
      </c>
      <c r="F10" s="18">
        <f t="shared" si="3"/>
        <v>12.353999999999999</v>
      </c>
      <c r="G10" s="18">
        <f t="shared" si="3"/>
        <v>12.353999999999999</v>
      </c>
      <c r="H10" s="18">
        <f t="shared" si="3"/>
        <v>12.353999999999999</v>
      </c>
      <c r="I10" s="18">
        <f t="shared" si="3"/>
        <v>12.353999999999999</v>
      </c>
      <c r="J10" s="18">
        <f t="shared" si="3"/>
        <v>12.353999999999999</v>
      </c>
      <c r="K10" s="18">
        <f t="shared" si="3"/>
        <v>12.353999999999999</v>
      </c>
      <c r="L10" s="18">
        <f t="shared" si="3"/>
        <v>12.353999999999999</v>
      </c>
      <c r="M10" s="18">
        <f t="shared" si="3"/>
        <v>12.353999999999999</v>
      </c>
      <c r="N10" s="26">
        <f t="shared" si="3"/>
        <v>12.353999999999999</v>
      </c>
    </row>
    <row r="11" spans="1:14" s="6" customFormat="1" ht="16.5" thickBot="1">
      <c r="A11" s="7" t="s">
        <v>333</v>
      </c>
      <c r="B11" s="15"/>
      <c r="C11" s="8">
        <f>C10*C$6</f>
        <v>24708</v>
      </c>
      <c r="D11" s="8">
        <f t="shared" ref="D11:N11" si="4">D10*D$6</f>
        <v>11884.547999999999</v>
      </c>
      <c r="E11" s="8">
        <f t="shared" si="4"/>
        <v>17592.095999999998</v>
      </c>
      <c r="F11" s="8">
        <f t="shared" si="4"/>
        <v>26054.585999999999</v>
      </c>
      <c r="G11" s="8">
        <f t="shared" si="4"/>
        <v>38581.541999999994</v>
      </c>
      <c r="H11" s="8">
        <f t="shared" si="4"/>
        <v>57124.895999999993</v>
      </c>
      <c r="I11" s="8">
        <f t="shared" si="4"/>
        <v>84587.837999999989</v>
      </c>
      <c r="J11" s="8">
        <f t="shared" si="4"/>
        <v>125244.852</v>
      </c>
      <c r="K11" s="8">
        <f t="shared" si="4"/>
        <v>185445.894</v>
      </c>
      <c r="L11" s="8">
        <f t="shared" si="4"/>
        <v>274592.35800000001</v>
      </c>
      <c r="M11" s="8">
        <f t="shared" si="4"/>
        <v>406594.848</v>
      </c>
      <c r="N11" s="8">
        <f t="shared" si="4"/>
        <v>600688.54200000002</v>
      </c>
    </row>
    <row r="12" spans="1:14">
      <c r="A12" s="3"/>
      <c r="B12" s="13"/>
      <c r="C12" s="2"/>
      <c r="D12" s="2"/>
      <c r="E12" s="2"/>
      <c r="F12" s="2"/>
      <c r="G12" s="2"/>
      <c r="H12" s="2"/>
      <c r="I12" s="2"/>
      <c r="J12" s="2"/>
      <c r="K12" s="2"/>
      <c r="L12" s="2"/>
      <c r="M12" s="2"/>
      <c r="N12" s="21"/>
    </row>
    <row r="13" spans="1:14">
      <c r="A13" s="1" t="s">
        <v>3</v>
      </c>
      <c r="B13" s="13"/>
      <c r="C13" s="2"/>
      <c r="D13" s="2"/>
      <c r="E13" s="2"/>
      <c r="F13" s="2"/>
      <c r="G13" s="2"/>
      <c r="H13" s="2"/>
      <c r="I13" s="2"/>
      <c r="J13" s="2"/>
      <c r="K13" s="2"/>
      <c r="L13" s="2"/>
      <c r="M13" s="2"/>
      <c r="N13" s="21"/>
    </row>
    <row r="14" spans="1:14" hidden="1" outlineLevel="1">
      <c r="A14" s="3" t="s">
        <v>265</v>
      </c>
      <c r="B14" s="13"/>
      <c r="C14" s="2">
        <f>'Revenues'!C12</f>
        <v>0</v>
      </c>
      <c r="D14" s="2">
        <f>'Revenues'!D12</f>
        <v>1.5</v>
      </c>
      <c r="E14" s="2">
        <f>'Revenues'!E12</f>
        <v>1.5</v>
      </c>
      <c r="F14" s="2">
        <f>'Revenues'!F12</f>
        <v>1.5</v>
      </c>
      <c r="G14" s="2">
        <f>'Revenues'!G12</f>
        <v>1.5</v>
      </c>
      <c r="H14" s="2">
        <f>'Revenues'!H12</f>
        <v>1.5</v>
      </c>
      <c r="I14" s="2">
        <f>'Revenues'!I12</f>
        <v>1.5</v>
      </c>
      <c r="J14" s="2">
        <f>'Revenues'!J12</f>
        <v>1.5</v>
      </c>
      <c r="K14" s="2">
        <f>'Revenues'!K12</f>
        <v>1.5</v>
      </c>
      <c r="L14" s="2">
        <f>'Revenues'!L12</f>
        <v>1.5</v>
      </c>
      <c r="M14" s="2">
        <f>'Revenues'!M12</f>
        <v>1.5</v>
      </c>
      <c r="N14" s="2">
        <f>'Revenues'!N12</f>
        <v>1.5</v>
      </c>
    </row>
    <row r="15" spans="1:14" hidden="1" outlineLevel="1">
      <c r="A15" s="3" t="s">
        <v>267</v>
      </c>
      <c r="B15" s="13"/>
      <c r="C15" s="23">
        <f>'Revenues'!C13</f>
        <v>0</v>
      </c>
      <c r="D15" s="23">
        <f>'Revenues'!D13</f>
        <v>400</v>
      </c>
      <c r="E15" s="23">
        <f>'Revenues'!E13</f>
        <v>400</v>
      </c>
      <c r="F15" s="23">
        <f>'Revenues'!F13</f>
        <v>400</v>
      </c>
      <c r="G15" s="23">
        <f>'Revenues'!G13</f>
        <v>400</v>
      </c>
      <c r="H15" s="23">
        <f>'Revenues'!H13</f>
        <v>400</v>
      </c>
      <c r="I15" s="23">
        <f>'Revenues'!I13</f>
        <v>400</v>
      </c>
      <c r="J15" s="23">
        <f>'Revenues'!J13</f>
        <v>400</v>
      </c>
      <c r="K15" s="23">
        <f>'Revenues'!K13</f>
        <v>400</v>
      </c>
      <c r="L15" s="23">
        <f>'Revenues'!L13</f>
        <v>400</v>
      </c>
      <c r="M15" s="23">
        <f>'Revenues'!M13</f>
        <v>400</v>
      </c>
      <c r="N15" s="23">
        <f>'Revenues'!N13</f>
        <v>400</v>
      </c>
    </row>
    <row r="16" spans="1:14" hidden="1" outlineLevel="1">
      <c r="A16" s="3" t="s">
        <v>268</v>
      </c>
      <c r="B16" s="13"/>
      <c r="C16" s="4">
        <f>'Revenues'!C14</f>
        <v>0.9</v>
      </c>
      <c r="D16" s="4">
        <f>'Revenues'!D14</f>
        <v>0.9</v>
      </c>
      <c r="E16" s="4">
        <f>'Revenues'!E14</f>
        <v>0.9</v>
      </c>
      <c r="F16" s="4">
        <f>'Revenues'!F14</f>
        <v>0.9</v>
      </c>
      <c r="G16" s="4">
        <f>'Revenues'!G14</f>
        <v>0.9</v>
      </c>
      <c r="H16" s="4">
        <f>'Revenues'!H14</f>
        <v>0.9</v>
      </c>
      <c r="I16" s="4">
        <f>'Revenues'!I14</f>
        <v>0.9</v>
      </c>
      <c r="J16" s="4">
        <f>'Revenues'!J14</f>
        <v>0.9</v>
      </c>
      <c r="K16" s="4">
        <f>'Revenues'!K14</f>
        <v>0.9</v>
      </c>
      <c r="L16" s="4">
        <f>'Revenues'!L14</f>
        <v>0.9</v>
      </c>
      <c r="M16" s="4">
        <f>'Revenues'!M14</f>
        <v>0.9</v>
      </c>
      <c r="N16" s="4">
        <f>'Revenues'!N14</f>
        <v>0.9</v>
      </c>
    </row>
    <row r="17" spans="1:14" hidden="1" outlineLevel="1">
      <c r="A17" s="3" t="s">
        <v>269</v>
      </c>
      <c r="B17" s="13"/>
      <c r="C17" s="4">
        <f>1-C16</f>
        <v>9.9999999999999978E-2</v>
      </c>
      <c r="D17" s="4">
        <f t="shared" ref="D17:N17" si="5">1-D16</f>
        <v>9.9999999999999978E-2</v>
      </c>
      <c r="E17" s="4">
        <f t="shared" si="5"/>
        <v>9.9999999999999978E-2</v>
      </c>
      <c r="F17" s="4">
        <f t="shared" si="5"/>
        <v>9.9999999999999978E-2</v>
      </c>
      <c r="G17" s="4">
        <f t="shared" si="5"/>
        <v>9.9999999999999978E-2</v>
      </c>
      <c r="H17" s="4">
        <f t="shared" si="5"/>
        <v>9.9999999999999978E-2</v>
      </c>
      <c r="I17" s="4">
        <f t="shared" si="5"/>
        <v>9.9999999999999978E-2</v>
      </c>
      <c r="J17" s="4">
        <f t="shared" si="5"/>
        <v>9.9999999999999978E-2</v>
      </c>
      <c r="K17" s="4">
        <f t="shared" si="5"/>
        <v>9.9999999999999978E-2</v>
      </c>
      <c r="L17" s="4">
        <f t="shared" si="5"/>
        <v>9.9999999999999978E-2</v>
      </c>
      <c r="M17" s="4">
        <f t="shared" si="5"/>
        <v>9.9999999999999978E-2</v>
      </c>
      <c r="N17" s="28">
        <f t="shared" si="5"/>
        <v>9.9999999999999978E-2</v>
      </c>
    </row>
    <row r="18" spans="1:14" hidden="1" outlineLevel="1">
      <c r="A18" s="3" t="s">
        <v>334</v>
      </c>
      <c r="B18" s="13"/>
      <c r="C18" s="76">
        <f>'Cost Structure'!$B$2</f>
        <v>0</v>
      </c>
      <c r="D18" s="76">
        <f>'Cost Structure'!$B$2</f>
        <v>0</v>
      </c>
      <c r="E18" s="76">
        <f>'Cost Structure'!$B$2</f>
        <v>0</v>
      </c>
      <c r="F18" s="76">
        <f>'Cost Structure'!$B$2</f>
        <v>0</v>
      </c>
      <c r="G18" s="76">
        <f>'Cost Structure'!$B$2</f>
        <v>0</v>
      </c>
      <c r="H18" s="76">
        <f>'Cost Structure'!$B$2</f>
        <v>0</v>
      </c>
      <c r="I18" s="76">
        <f>'Cost Structure'!$B$2</f>
        <v>0</v>
      </c>
      <c r="J18" s="76">
        <f>'Cost Structure'!$B$2</f>
        <v>0</v>
      </c>
      <c r="K18" s="76">
        <f>'Cost Structure'!$B$2</f>
        <v>0</v>
      </c>
      <c r="L18" s="76">
        <f>'Cost Structure'!$B$2</f>
        <v>0</v>
      </c>
      <c r="M18" s="76">
        <f>'Cost Structure'!$B$2</f>
        <v>0</v>
      </c>
      <c r="N18" s="76">
        <f>'Cost Structure'!$B$2</f>
        <v>0</v>
      </c>
    </row>
    <row r="19" spans="1:14" hidden="1" outlineLevel="1">
      <c r="A19" s="3" t="s">
        <v>335</v>
      </c>
      <c r="B19" s="13"/>
      <c r="C19" s="23">
        <f>C14*C15*C16*C18</f>
        <v>0</v>
      </c>
      <c r="D19" s="23">
        <f t="shared" ref="D19:N19" si="6">D14*D15*D16*D18</f>
        <v>0</v>
      </c>
      <c r="E19" s="23">
        <f t="shared" si="6"/>
        <v>0</v>
      </c>
      <c r="F19" s="23">
        <f t="shared" si="6"/>
        <v>0</v>
      </c>
      <c r="G19" s="23">
        <f t="shared" si="6"/>
        <v>0</v>
      </c>
      <c r="H19" s="23">
        <f t="shared" si="6"/>
        <v>0</v>
      </c>
      <c r="I19" s="23">
        <f t="shared" si="6"/>
        <v>0</v>
      </c>
      <c r="J19" s="23">
        <f t="shared" si="6"/>
        <v>0</v>
      </c>
      <c r="K19" s="23">
        <f t="shared" si="6"/>
        <v>0</v>
      </c>
      <c r="L19" s="23">
        <f t="shared" si="6"/>
        <v>0</v>
      </c>
      <c r="M19" s="23">
        <f t="shared" si="6"/>
        <v>0</v>
      </c>
      <c r="N19" s="24">
        <f t="shared" si="6"/>
        <v>0</v>
      </c>
    </row>
    <row r="20" spans="1:14" hidden="1" outlineLevel="1">
      <c r="A20" s="3" t="s">
        <v>336</v>
      </c>
      <c r="B20" s="13"/>
      <c r="C20" s="52">
        <f>'Cost Structure'!$B$2</f>
        <v>0</v>
      </c>
      <c r="D20" s="52">
        <f>'Cost Structure'!$B$2</f>
        <v>0</v>
      </c>
      <c r="E20" s="52">
        <f>'Cost Structure'!$B$2</f>
        <v>0</v>
      </c>
      <c r="F20" s="52">
        <f>'Cost Structure'!$B$2</f>
        <v>0</v>
      </c>
      <c r="G20" s="52">
        <f>'Cost Structure'!$B$2</f>
        <v>0</v>
      </c>
      <c r="H20" s="52">
        <f>'Cost Structure'!$B$2</f>
        <v>0</v>
      </c>
      <c r="I20" s="52">
        <f>'Cost Structure'!$B$2</f>
        <v>0</v>
      </c>
      <c r="J20" s="52">
        <f>'Cost Structure'!$B$2</f>
        <v>0</v>
      </c>
      <c r="K20" s="52">
        <f>'Cost Structure'!$B$2</f>
        <v>0</v>
      </c>
      <c r="L20" s="52">
        <f>'Cost Structure'!$B$2</f>
        <v>0</v>
      </c>
      <c r="M20" s="52">
        <f>'Cost Structure'!$B$2</f>
        <v>0</v>
      </c>
      <c r="N20" s="53">
        <f>'Cost Structure'!$B$2</f>
        <v>0</v>
      </c>
    </row>
    <row r="21" spans="1:14" hidden="1" outlineLevel="1">
      <c r="A21" s="3" t="s">
        <v>337</v>
      </c>
      <c r="B21" s="13"/>
      <c r="C21" s="23">
        <f>C14*C15*C17*C20</f>
        <v>0</v>
      </c>
      <c r="D21" s="23">
        <f t="shared" ref="D21:N21" si="7">D14*D15*D17*D20</f>
        <v>0</v>
      </c>
      <c r="E21" s="23">
        <f t="shared" si="7"/>
        <v>0</v>
      </c>
      <c r="F21" s="23">
        <f t="shared" si="7"/>
        <v>0</v>
      </c>
      <c r="G21" s="23">
        <f t="shared" si="7"/>
        <v>0</v>
      </c>
      <c r="H21" s="23">
        <f t="shared" si="7"/>
        <v>0</v>
      </c>
      <c r="I21" s="23">
        <f t="shared" si="7"/>
        <v>0</v>
      </c>
      <c r="J21" s="23">
        <f t="shared" si="7"/>
        <v>0</v>
      </c>
      <c r="K21" s="23">
        <f t="shared" si="7"/>
        <v>0</v>
      </c>
      <c r="L21" s="23">
        <f t="shared" si="7"/>
        <v>0</v>
      </c>
      <c r="M21" s="23">
        <f t="shared" si="7"/>
        <v>0</v>
      </c>
      <c r="N21" s="24">
        <f t="shared" si="7"/>
        <v>0</v>
      </c>
    </row>
    <row r="22" spans="1:14" s="6" customFormat="1" collapsed="1">
      <c r="A22" s="5" t="s">
        <v>338</v>
      </c>
      <c r="B22" s="14"/>
      <c r="C22" s="18">
        <f>C19+C21</f>
        <v>0</v>
      </c>
      <c r="D22" s="18">
        <f t="shared" ref="D22:N22" si="8">D19+D21</f>
        <v>0</v>
      </c>
      <c r="E22" s="18">
        <f t="shared" si="8"/>
        <v>0</v>
      </c>
      <c r="F22" s="18">
        <f t="shared" si="8"/>
        <v>0</v>
      </c>
      <c r="G22" s="18">
        <f t="shared" si="8"/>
        <v>0</v>
      </c>
      <c r="H22" s="18">
        <f t="shared" si="8"/>
        <v>0</v>
      </c>
      <c r="I22" s="18">
        <f t="shared" si="8"/>
        <v>0</v>
      </c>
      <c r="J22" s="18">
        <f t="shared" si="8"/>
        <v>0</v>
      </c>
      <c r="K22" s="18">
        <f t="shared" si="8"/>
        <v>0</v>
      </c>
      <c r="L22" s="18">
        <f t="shared" si="8"/>
        <v>0</v>
      </c>
      <c r="M22" s="18">
        <f t="shared" si="8"/>
        <v>0</v>
      </c>
      <c r="N22" s="26">
        <f t="shared" si="8"/>
        <v>0</v>
      </c>
    </row>
    <row r="23" spans="1:14" s="6" customFormat="1" ht="16.5" thickBot="1">
      <c r="A23" s="7" t="s">
        <v>339</v>
      </c>
      <c r="B23" s="15"/>
      <c r="C23" s="8">
        <f>C22*C$2</f>
        <v>0</v>
      </c>
      <c r="D23" s="8">
        <f>D22*D$3</f>
        <v>0</v>
      </c>
      <c r="E23" s="8">
        <f t="shared" ref="E23:N23" si="9">E22*E$3</f>
        <v>0</v>
      </c>
      <c r="F23" s="8">
        <f t="shared" si="9"/>
        <v>0</v>
      </c>
      <c r="G23" s="8">
        <f t="shared" si="9"/>
        <v>0</v>
      </c>
      <c r="H23" s="8">
        <f t="shared" si="9"/>
        <v>0</v>
      </c>
      <c r="I23" s="8">
        <f t="shared" si="9"/>
        <v>0</v>
      </c>
      <c r="J23" s="8">
        <f t="shared" si="9"/>
        <v>0</v>
      </c>
      <c r="K23" s="8">
        <f t="shared" si="9"/>
        <v>0</v>
      </c>
      <c r="L23" s="8">
        <f t="shared" si="9"/>
        <v>0</v>
      </c>
      <c r="M23" s="8">
        <f t="shared" si="9"/>
        <v>0</v>
      </c>
      <c r="N23" s="8">
        <f t="shared" si="9"/>
        <v>0</v>
      </c>
    </row>
    <row r="24" spans="1:14">
      <c r="A24" s="2"/>
      <c r="B24" s="13"/>
      <c r="C24" s="2"/>
      <c r="D24" s="2"/>
      <c r="E24" s="2"/>
      <c r="F24" s="2"/>
      <c r="G24" s="2"/>
      <c r="H24" s="2"/>
      <c r="I24" s="2"/>
      <c r="J24" s="2"/>
      <c r="K24" s="2"/>
      <c r="L24" s="2"/>
      <c r="M24" s="2"/>
      <c r="N24" s="21"/>
    </row>
    <row r="25" spans="1:14">
      <c r="A25" s="9" t="s">
        <v>22</v>
      </c>
      <c r="B25" s="13"/>
      <c r="C25" s="2"/>
      <c r="D25" s="2"/>
      <c r="E25" s="2"/>
      <c r="F25" s="2"/>
      <c r="G25" s="2"/>
      <c r="H25" s="2"/>
      <c r="I25" s="2"/>
      <c r="J25" s="2"/>
      <c r="K25" s="2"/>
      <c r="L25" s="2"/>
      <c r="M25" s="2"/>
      <c r="N25" s="21"/>
    </row>
    <row r="26" spans="1:14" outlineLevel="1">
      <c r="A26" s="3" t="s">
        <v>276</v>
      </c>
      <c r="B26" s="13"/>
      <c r="C26" s="2">
        <f>'Revenues'!C24</f>
        <v>2</v>
      </c>
      <c r="D26" s="2">
        <f>'Revenues'!D24</f>
        <v>2</v>
      </c>
      <c r="E26" s="2">
        <f>'Revenues'!E24</f>
        <v>2</v>
      </c>
      <c r="F26" s="2">
        <f>'Revenues'!F24</f>
        <v>2</v>
      </c>
      <c r="G26" s="2">
        <f>'Revenues'!G24</f>
        <v>2</v>
      </c>
      <c r="H26" s="2">
        <f>'Revenues'!H24</f>
        <v>2</v>
      </c>
      <c r="I26" s="2">
        <f>'Revenues'!I24</f>
        <v>2</v>
      </c>
      <c r="J26" s="2">
        <f>'Revenues'!J24</f>
        <v>2</v>
      </c>
      <c r="K26" s="2">
        <f>'Revenues'!K24</f>
        <v>2</v>
      </c>
      <c r="L26" s="2">
        <f>'Revenues'!L24</f>
        <v>2</v>
      </c>
      <c r="M26" s="2">
        <f>'Revenues'!M24</f>
        <v>2</v>
      </c>
      <c r="N26" s="2">
        <f>'Revenues'!N24</f>
        <v>2</v>
      </c>
    </row>
    <row r="27" spans="1:14" outlineLevel="1">
      <c r="A27" s="3" t="s">
        <v>277</v>
      </c>
      <c r="B27" s="13"/>
      <c r="C27" s="23">
        <f>'Revenues'!C25</f>
        <v>100</v>
      </c>
      <c r="D27" s="23">
        <f>'Revenues'!D25</f>
        <v>100</v>
      </c>
      <c r="E27" s="23">
        <f>'Revenues'!E25</f>
        <v>100</v>
      </c>
      <c r="F27" s="23">
        <f>'Revenues'!F25</f>
        <v>100</v>
      </c>
      <c r="G27" s="23">
        <f>'Revenues'!G25</f>
        <v>100</v>
      </c>
      <c r="H27" s="23">
        <f>'Revenues'!H25</f>
        <v>100</v>
      </c>
      <c r="I27" s="23">
        <f>'Revenues'!I25</f>
        <v>100</v>
      </c>
      <c r="J27" s="23">
        <f>'Revenues'!J25</f>
        <v>100</v>
      </c>
      <c r="K27" s="23">
        <f>'Revenues'!K25</f>
        <v>100</v>
      </c>
      <c r="L27" s="23">
        <f>'Revenues'!L25</f>
        <v>100</v>
      </c>
      <c r="M27" s="23">
        <f>'Revenues'!M25</f>
        <v>100</v>
      </c>
      <c r="N27" s="23">
        <f>'Revenues'!N25</f>
        <v>100</v>
      </c>
    </row>
    <row r="28" spans="1:14" outlineLevel="1">
      <c r="A28" s="3" t="s">
        <v>340</v>
      </c>
      <c r="B28" s="13" t="s">
        <v>341</v>
      </c>
      <c r="C28" s="44">
        <f>'Cost Structure'!$B$3</f>
        <v>0</v>
      </c>
      <c r="D28" s="44">
        <f>'Cost Structure'!$B$3</f>
        <v>0</v>
      </c>
      <c r="E28" s="44">
        <f>'Cost Structure'!$B$3</f>
        <v>0</v>
      </c>
      <c r="F28" s="44">
        <f>'Cost Structure'!$B$3</f>
        <v>0</v>
      </c>
      <c r="G28" s="44">
        <f>'Cost Structure'!$B$3</f>
        <v>0</v>
      </c>
      <c r="H28" s="44">
        <f>'Cost Structure'!$B$3</f>
        <v>0</v>
      </c>
      <c r="I28" s="44">
        <f>'Cost Structure'!$B$3</f>
        <v>0</v>
      </c>
      <c r="J28" s="44">
        <f>'Cost Structure'!$B$3</f>
        <v>0</v>
      </c>
      <c r="K28" s="44">
        <f>'Cost Structure'!$B$3</f>
        <v>0</v>
      </c>
      <c r="L28" s="44">
        <f>'Cost Structure'!$B$3</f>
        <v>0</v>
      </c>
      <c r="M28" s="44">
        <f>'Cost Structure'!$B$3</f>
        <v>0</v>
      </c>
      <c r="N28" s="45">
        <f>'Cost Structure'!$B$3</f>
        <v>0</v>
      </c>
    </row>
    <row r="29" spans="1:14" outlineLevel="1">
      <c r="A29" s="3" t="s">
        <v>342</v>
      </c>
      <c r="B29" s="13"/>
      <c r="C29" s="23">
        <f>C26*C27*C28</f>
        <v>0</v>
      </c>
      <c r="D29" s="23">
        <f t="shared" ref="D29:N29" si="10">D26*D27*D28</f>
        <v>0</v>
      </c>
      <c r="E29" s="23">
        <f t="shared" si="10"/>
        <v>0</v>
      </c>
      <c r="F29" s="23">
        <f t="shared" si="10"/>
        <v>0</v>
      </c>
      <c r="G29" s="23">
        <f t="shared" si="10"/>
        <v>0</v>
      </c>
      <c r="H29" s="23">
        <f t="shared" si="10"/>
        <v>0</v>
      </c>
      <c r="I29" s="23">
        <f t="shared" si="10"/>
        <v>0</v>
      </c>
      <c r="J29" s="23">
        <f t="shared" si="10"/>
        <v>0</v>
      </c>
      <c r="K29" s="23">
        <f t="shared" si="10"/>
        <v>0</v>
      </c>
      <c r="L29" s="23">
        <f t="shared" si="10"/>
        <v>0</v>
      </c>
      <c r="M29" s="23">
        <f t="shared" si="10"/>
        <v>0</v>
      </c>
      <c r="N29" s="24">
        <f t="shared" si="10"/>
        <v>0</v>
      </c>
    </row>
    <row r="30" spans="1:14" s="6" customFormat="1">
      <c r="A30" s="5" t="s">
        <v>343</v>
      </c>
      <c r="B30" s="14"/>
      <c r="C30" s="18">
        <f>C29</f>
        <v>0</v>
      </c>
      <c r="D30" s="18">
        <f t="shared" ref="D30:N30" si="11">D29</f>
        <v>0</v>
      </c>
      <c r="E30" s="18">
        <f t="shared" si="11"/>
        <v>0</v>
      </c>
      <c r="F30" s="18">
        <f t="shared" si="11"/>
        <v>0</v>
      </c>
      <c r="G30" s="18">
        <f t="shared" si="11"/>
        <v>0</v>
      </c>
      <c r="H30" s="18">
        <f t="shared" si="11"/>
        <v>0</v>
      </c>
      <c r="I30" s="18">
        <f t="shared" si="11"/>
        <v>0</v>
      </c>
      <c r="J30" s="18">
        <f t="shared" si="11"/>
        <v>0</v>
      </c>
      <c r="K30" s="18">
        <f t="shared" si="11"/>
        <v>0</v>
      </c>
      <c r="L30" s="18">
        <f t="shared" si="11"/>
        <v>0</v>
      </c>
      <c r="M30" s="18">
        <f t="shared" si="11"/>
        <v>0</v>
      </c>
      <c r="N30" s="26">
        <f t="shared" si="11"/>
        <v>0</v>
      </c>
    </row>
    <row r="31" spans="1:14" s="6" customFormat="1" ht="16.5" thickBot="1">
      <c r="A31" s="7" t="s">
        <v>344</v>
      </c>
      <c r="B31" s="15"/>
      <c r="C31" s="8">
        <f>C30*C$2</f>
        <v>0</v>
      </c>
      <c r="D31" s="8">
        <f t="shared" ref="D31:N31" si="12">D30*D$2</f>
        <v>0</v>
      </c>
      <c r="E31" s="8">
        <f t="shared" si="12"/>
        <v>0</v>
      </c>
      <c r="F31" s="8">
        <f t="shared" si="12"/>
        <v>0</v>
      </c>
      <c r="G31" s="8">
        <f t="shared" si="12"/>
        <v>0</v>
      </c>
      <c r="H31" s="8">
        <f t="shared" si="12"/>
        <v>0</v>
      </c>
      <c r="I31" s="8">
        <f t="shared" si="12"/>
        <v>0</v>
      </c>
      <c r="J31" s="8">
        <f t="shared" si="12"/>
        <v>0</v>
      </c>
      <c r="K31" s="8">
        <f t="shared" si="12"/>
        <v>0</v>
      </c>
      <c r="L31" s="8">
        <f t="shared" si="12"/>
        <v>0</v>
      </c>
      <c r="M31" s="8">
        <f t="shared" si="12"/>
        <v>0</v>
      </c>
      <c r="N31" s="27">
        <f t="shared" si="12"/>
        <v>0</v>
      </c>
    </row>
    <row r="32" spans="1:14">
      <c r="A32" s="3"/>
      <c r="B32" s="13"/>
      <c r="C32" s="2"/>
      <c r="D32" s="2"/>
      <c r="E32" s="2"/>
      <c r="F32" s="2"/>
      <c r="G32" s="2"/>
      <c r="H32" s="2"/>
      <c r="I32" s="2"/>
      <c r="J32" s="2"/>
      <c r="K32" s="2"/>
      <c r="L32" s="2"/>
      <c r="M32" s="2"/>
      <c r="N32" s="21"/>
    </row>
    <row r="33" spans="1:14">
      <c r="A33" s="1" t="s">
        <v>44</v>
      </c>
      <c r="B33" s="13"/>
      <c r="C33" s="2"/>
      <c r="D33" s="2"/>
      <c r="E33" s="2"/>
      <c r="F33" s="2"/>
      <c r="G33" s="2"/>
      <c r="H33" s="2"/>
      <c r="I33" s="2"/>
      <c r="J33" s="2"/>
      <c r="K33" s="2"/>
      <c r="L33" s="2"/>
      <c r="M33" s="2"/>
      <c r="N33" s="21"/>
    </row>
    <row r="34" spans="1:14" outlineLevel="1">
      <c r="A34" s="3" t="s">
        <v>282</v>
      </c>
      <c r="B34" s="13" t="s">
        <v>345</v>
      </c>
      <c r="C34" s="2">
        <f>'Revenues'!C32</f>
        <v>6</v>
      </c>
      <c r="D34" s="2">
        <f>'Revenues'!D32</f>
        <v>6</v>
      </c>
      <c r="E34" s="2">
        <f>'Revenues'!E32</f>
        <v>6</v>
      </c>
      <c r="F34" s="2">
        <f>'Revenues'!F32</f>
        <v>6</v>
      </c>
      <c r="G34" s="2">
        <f>'Revenues'!G32</f>
        <v>6</v>
      </c>
      <c r="H34" s="2">
        <f>'Revenues'!H32</f>
        <v>6</v>
      </c>
      <c r="I34" s="2">
        <f>'Revenues'!I32</f>
        <v>6</v>
      </c>
      <c r="J34" s="2">
        <f>'Revenues'!J32</f>
        <v>6</v>
      </c>
      <c r="K34" s="2">
        <f>'Revenues'!K32</f>
        <v>6</v>
      </c>
      <c r="L34" s="2">
        <f>'Revenues'!L32</f>
        <v>6</v>
      </c>
      <c r="M34" s="2">
        <f>'Revenues'!M32</f>
        <v>6</v>
      </c>
      <c r="N34" s="2">
        <f>'Revenues'!N32</f>
        <v>6</v>
      </c>
    </row>
    <row r="35" spans="1:14" outlineLevel="1">
      <c r="A35" s="3" t="s">
        <v>284</v>
      </c>
      <c r="B35" s="13" t="s">
        <v>285</v>
      </c>
      <c r="C35" s="23">
        <f>'Revenues'!C33</f>
        <v>40</v>
      </c>
      <c r="D35" s="23">
        <f>'Revenues'!D33</f>
        <v>40</v>
      </c>
      <c r="E35" s="23">
        <f>'Revenues'!E33</f>
        <v>40</v>
      </c>
      <c r="F35" s="23">
        <f>'Revenues'!F33</f>
        <v>40</v>
      </c>
      <c r="G35" s="23">
        <f>'Revenues'!G33</f>
        <v>40</v>
      </c>
      <c r="H35" s="23">
        <f>'Revenues'!H33</f>
        <v>40</v>
      </c>
      <c r="I35" s="23">
        <f>'Revenues'!I33</f>
        <v>40</v>
      </c>
      <c r="J35" s="23">
        <f>'Revenues'!J33</f>
        <v>40</v>
      </c>
      <c r="K35" s="23">
        <f>'Revenues'!K33</f>
        <v>40</v>
      </c>
      <c r="L35" s="23">
        <f>'Revenues'!L33</f>
        <v>40</v>
      </c>
      <c r="M35" s="23">
        <f>'Revenues'!M33</f>
        <v>40</v>
      </c>
      <c r="N35" s="23">
        <f>'Revenues'!N33</f>
        <v>40</v>
      </c>
    </row>
    <row r="36" spans="1:14" outlineLevel="1">
      <c r="A36" s="3" t="s">
        <v>346</v>
      </c>
      <c r="B36" s="13" t="s">
        <v>347</v>
      </c>
      <c r="C36" s="51">
        <f>'Cost Structure'!$B$4</f>
        <v>5.0000000000000001E-4</v>
      </c>
      <c r="D36" s="51">
        <f>'Cost Structure'!$B$4</f>
        <v>5.0000000000000001E-4</v>
      </c>
      <c r="E36" s="51">
        <f>'Cost Structure'!$B$4</f>
        <v>5.0000000000000001E-4</v>
      </c>
      <c r="F36" s="51">
        <f>'Cost Structure'!$B$4</f>
        <v>5.0000000000000001E-4</v>
      </c>
      <c r="G36" s="51">
        <f>'Cost Structure'!$B$4</f>
        <v>5.0000000000000001E-4</v>
      </c>
      <c r="H36" s="51">
        <f>'Cost Structure'!$B$4</f>
        <v>5.0000000000000001E-4</v>
      </c>
      <c r="I36" s="51">
        <f>'Cost Structure'!$B$4</f>
        <v>5.0000000000000001E-4</v>
      </c>
      <c r="J36" s="51">
        <f>'Cost Structure'!$B$4</f>
        <v>5.0000000000000001E-4</v>
      </c>
      <c r="K36" s="51">
        <f>'Cost Structure'!$B$4</f>
        <v>5.0000000000000001E-4</v>
      </c>
      <c r="L36" s="51">
        <f>'Cost Structure'!$B$4</f>
        <v>5.0000000000000001E-4</v>
      </c>
      <c r="M36" s="51">
        <f>'Cost Structure'!$B$4</f>
        <v>5.0000000000000001E-4</v>
      </c>
      <c r="N36" s="54">
        <f>'Cost Structure'!$B$4</f>
        <v>5.0000000000000001E-4</v>
      </c>
    </row>
    <row r="37" spans="1:14" outlineLevel="1">
      <c r="A37" s="3" t="s">
        <v>348</v>
      </c>
      <c r="B37" s="13"/>
      <c r="C37" s="23">
        <f>C34*C35*C36</f>
        <v>0.12</v>
      </c>
      <c r="D37" s="23">
        <f t="shared" ref="D37:N37" si="13">D34*D35*D36</f>
        <v>0.12</v>
      </c>
      <c r="E37" s="23">
        <f t="shared" si="13"/>
        <v>0.12</v>
      </c>
      <c r="F37" s="23">
        <f t="shared" si="13"/>
        <v>0.12</v>
      </c>
      <c r="G37" s="23">
        <f t="shared" si="13"/>
        <v>0.12</v>
      </c>
      <c r="H37" s="23">
        <f t="shared" si="13"/>
        <v>0.12</v>
      </c>
      <c r="I37" s="23">
        <f t="shared" si="13"/>
        <v>0.12</v>
      </c>
      <c r="J37" s="23">
        <f t="shared" si="13"/>
        <v>0.12</v>
      </c>
      <c r="K37" s="23">
        <f t="shared" si="13"/>
        <v>0.12</v>
      </c>
      <c r="L37" s="23">
        <f t="shared" si="13"/>
        <v>0.12</v>
      </c>
      <c r="M37" s="23">
        <f t="shared" si="13"/>
        <v>0.12</v>
      </c>
      <c r="N37" s="24">
        <f t="shared" si="13"/>
        <v>0.12</v>
      </c>
    </row>
    <row r="38" spans="1:14" s="6" customFormat="1">
      <c r="A38" s="5" t="s">
        <v>349</v>
      </c>
      <c r="B38" s="14"/>
      <c r="C38" s="18">
        <f>C37</f>
        <v>0.12</v>
      </c>
      <c r="D38" s="18">
        <f t="shared" ref="D38:N38" si="14">D37</f>
        <v>0.12</v>
      </c>
      <c r="E38" s="18">
        <f t="shared" si="14"/>
        <v>0.12</v>
      </c>
      <c r="F38" s="18">
        <f t="shared" si="14"/>
        <v>0.12</v>
      </c>
      <c r="G38" s="18">
        <f t="shared" si="14"/>
        <v>0.12</v>
      </c>
      <c r="H38" s="18">
        <f t="shared" si="14"/>
        <v>0.12</v>
      </c>
      <c r="I38" s="18">
        <f t="shared" si="14"/>
        <v>0.12</v>
      </c>
      <c r="J38" s="18">
        <f t="shared" si="14"/>
        <v>0.12</v>
      </c>
      <c r="K38" s="18">
        <f t="shared" si="14"/>
        <v>0.12</v>
      </c>
      <c r="L38" s="18">
        <f t="shared" si="14"/>
        <v>0.12</v>
      </c>
      <c r="M38" s="18">
        <f t="shared" si="14"/>
        <v>0.12</v>
      </c>
      <c r="N38" s="26">
        <f t="shared" si="14"/>
        <v>0.12</v>
      </c>
    </row>
    <row r="39" spans="1:14" s="6" customFormat="1" ht="16.5" thickBot="1">
      <c r="A39" s="7" t="s">
        <v>350</v>
      </c>
      <c r="B39" s="15"/>
      <c r="C39" s="8">
        <f>C38*C$2</f>
        <v>240</v>
      </c>
      <c r="D39" s="8">
        <f t="shared" ref="D39:N39" si="15">D38*D$2</f>
        <v>355.44</v>
      </c>
      <c r="E39" s="8">
        <f t="shared" si="15"/>
        <v>526.31999999999994</v>
      </c>
      <c r="F39" s="8">
        <f t="shared" si="15"/>
        <v>779.4</v>
      </c>
      <c r="G39" s="8">
        <f t="shared" si="15"/>
        <v>1154.1599999999999</v>
      </c>
      <c r="H39" s="8">
        <f t="shared" si="15"/>
        <v>1709.04</v>
      </c>
      <c r="I39" s="8">
        <f t="shared" si="15"/>
        <v>2530.6799999999998</v>
      </c>
      <c r="J39" s="8">
        <f t="shared" si="15"/>
        <v>3747.24</v>
      </c>
      <c r="K39" s="8">
        <f t="shared" si="15"/>
        <v>5548.5599999999995</v>
      </c>
      <c r="L39" s="8">
        <f t="shared" si="15"/>
        <v>8215.7999999999993</v>
      </c>
      <c r="M39" s="8">
        <f t="shared" si="15"/>
        <v>12165.24</v>
      </c>
      <c r="N39" s="27">
        <f t="shared" si="15"/>
        <v>18000</v>
      </c>
    </row>
    <row r="40" spans="1:14">
      <c r="A40" s="2"/>
      <c r="B40" s="13"/>
      <c r="C40" s="2"/>
      <c r="D40" s="2"/>
      <c r="E40" s="2"/>
      <c r="F40" s="2"/>
      <c r="G40" s="2"/>
      <c r="H40" s="2"/>
      <c r="I40" s="2"/>
      <c r="J40" s="2"/>
      <c r="K40" s="2"/>
      <c r="L40" s="2"/>
      <c r="M40" s="2"/>
      <c r="N40" s="21"/>
    </row>
    <row r="41" spans="1:14" hidden="1">
      <c r="A41" s="1" t="s">
        <v>45</v>
      </c>
      <c r="B41" s="13"/>
      <c r="C41" s="2"/>
      <c r="D41" s="2"/>
      <c r="E41" s="2"/>
      <c r="F41" s="2"/>
      <c r="G41" s="2"/>
      <c r="H41" s="2"/>
      <c r="I41" s="2"/>
      <c r="J41" s="2"/>
      <c r="K41" s="2"/>
      <c r="L41" s="2"/>
      <c r="M41" s="2"/>
      <c r="N41" s="21"/>
    </row>
    <row r="42" spans="1:14" hidden="1" outlineLevel="1">
      <c r="A42" s="3" t="s">
        <v>292</v>
      </c>
      <c r="B42" s="13"/>
      <c r="C42" s="2">
        <f>'Revenues'!C42</f>
        <v>0</v>
      </c>
      <c r="D42" s="2">
        <f>'Revenues'!D42</f>
        <v>0</v>
      </c>
      <c r="E42" s="2">
        <f>'Revenues'!E42</f>
        <v>0</v>
      </c>
      <c r="F42" s="2">
        <f>'Revenues'!F42</f>
        <v>0</v>
      </c>
      <c r="G42" s="2">
        <f>'Revenues'!G42</f>
        <v>0</v>
      </c>
      <c r="H42" s="2">
        <f>'Revenues'!H42</f>
        <v>0</v>
      </c>
      <c r="I42" s="2">
        <f>'Revenues'!I42</f>
        <v>0</v>
      </c>
      <c r="J42" s="2">
        <f>'Revenues'!J42</f>
        <v>0</v>
      </c>
      <c r="K42" s="2">
        <f>'Revenues'!K42</f>
        <v>0</v>
      </c>
      <c r="L42" s="2">
        <f>'Revenues'!L42</f>
        <v>0</v>
      </c>
      <c r="M42" s="2">
        <f>'Revenues'!M42</f>
        <v>0</v>
      </c>
      <c r="N42" s="2">
        <f>'Revenues'!N42</f>
        <v>0</v>
      </c>
    </row>
    <row r="43" spans="1:14" hidden="1" outlineLevel="1">
      <c r="A43" s="3" t="s">
        <v>293</v>
      </c>
      <c r="B43" s="13"/>
      <c r="C43" s="23">
        <f>'Revenues'!C43</f>
        <v>40</v>
      </c>
      <c r="D43" s="23">
        <f>'Revenues'!D43</f>
        <v>40</v>
      </c>
      <c r="E43" s="23">
        <f>'Revenues'!E43</f>
        <v>40</v>
      </c>
      <c r="F43" s="23">
        <f>'Revenues'!F43</f>
        <v>40</v>
      </c>
      <c r="G43" s="23">
        <f>'Revenues'!G43</f>
        <v>40</v>
      </c>
      <c r="H43" s="23">
        <f>'Revenues'!H43</f>
        <v>40</v>
      </c>
      <c r="I43" s="23">
        <f>'Revenues'!I43</f>
        <v>40</v>
      </c>
      <c r="J43" s="23">
        <f>'Revenues'!J43</f>
        <v>40</v>
      </c>
      <c r="K43" s="23">
        <f>'Revenues'!K43</f>
        <v>40</v>
      </c>
      <c r="L43" s="23">
        <f>'Revenues'!L43</f>
        <v>40</v>
      </c>
      <c r="M43" s="23">
        <f>'Revenues'!M43</f>
        <v>40</v>
      </c>
      <c r="N43" s="23">
        <f>'Revenues'!N43</f>
        <v>40</v>
      </c>
    </row>
    <row r="44" spans="1:14" hidden="1" outlineLevel="1">
      <c r="A44" s="3" t="s">
        <v>351</v>
      </c>
      <c r="B44" s="16"/>
      <c r="C44" s="49">
        <f>'Cost Structure'!$B$5</f>
        <v>2E-3</v>
      </c>
      <c r="D44" s="49">
        <f>'Cost Structure'!$B$5</f>
        <v>2E-3</v>
      </c>
      <c r="E44" s="49">
        <f>'Cost Structure'!$B$5</f>
        <v>2E-3</v>
      </c>
      <c r="F44" s="49">
        <f>'Cost Structure'!$B$5</f>
        <v>2E-3</v>
      </c>
      <c r="G44" s="49">
        <f>'Cost Structure'!$B$5</f>
        <v>2E-3</v>
      </c>
      <c r="H44" s="49">
        <f>'Cost Structure'!$B$5</f>
        <v>2E-3</v>
      </c>
      <c r="I44" s="49">
        <f>'Cost Structure'!$B$5</f>
        <v>2E-3</v>
      </c>
      <c r="J44" s="49">
        <f>'Cost Structure'!$B$5</f>
        <v>2E-3</v>
      </c>
      <c r="K44" s="49">
        <f>'Cost Structure'!$B$5</f>
        <v>2E-3</v>
      </c>
      <c r="L44" s="49">
        <f>'Cost Structure'!$B$5</f>
        <v>2E-3</v>
      </c>
      <c r="M44" s="49">
        <f>'Cost Structure'!$B$5</f>
        <v>2E-3</v>
      </c>
      <c r="N44" s="50">
        <f>'Cost Structure'!$B$5</f>
        <v>2E-3</v>
      </c>
    </row>
    <row r="45" spans="1:14" hidden="1" outlineLevel="1">
      <c r="A45" s="3" t="s">
        <v>352</v>
      </c>
      <c r="B45" s="13"/>
      <c r="C45" s="55">
        <f>C42*C43*C44</f>
        <v>0</v>
      </c>
      <c r="D45" s="55">
        <f t="shared" ref="D45:N45" si="16">D42*D43*D44</f>
        <v>0</v>
      </c>
      <c r="E45" s="55">
        <f t="shared" si="16"/>
        <v>0</v>
      </c>
      <c r="F45" s="55">
        <f t="shared" si="16"/>
        <v>0</v>
      </c>
      <c r="G45" s="55">
        <f t="shared" si="16"/>
        <v>0</v>
      </c>
      <c r="H45" s="55">
        <f t="shared" si="16"/>
        <v>0</v>
      </c>
      <c r="I45" s="55">
        <f t="shared" si="16"/>
        <v>0</v>
      </c>
      <c r="J45" s="55">
        <f t="shared" si="16"/>
        <v>0</v>
      </c>
      <c r="K45" s="55">
        <f t="shared" si="16"/>
        <v>0</v>
      </c>
      <c r="L45" s="55">
        <f t="shared" si="16"/>
        <v>0</v>
      </c>
      <c r="M45" s="55">
        <f t="shared" si="16"/>
        <v>0</v>
      </c>
      <c r="N45" s="56">
        <f t="shared" si="16"/>
        <v>0</v>
      </c>
    </row>
    <row r="46" spans="1:14" s="6" customFormat="1" hidden="1" collapsed="1">
      <c r="A46" s="5" t="s">
        <v>353</v>
      </c>
      <c r="B46" s="14"/>
      <c r="C46" s="57">
        <f>C45</f>
        <v>0</v>
      </c>
      <c r="D46" s="57">
        <f t="shared" ref="D46:N46" si="17">D45</f>
        <v>0</v>
      </c>
      <c r="E46" s="57">
        <f t="shared" si="17"/>
        <v>0</v>
      </c>
      <c r="F46" s="57">
        <f t="shared" si="17"/>
        <v>0</v>
      </c>
      <c r="G46" s="57">
        <f t="shared" si="17"/>
        <v>0</v>
      </c>
      <c r="H46" s="57">
        <f t="shared" si="17"/>
        <v>0</v>
      </c>
      <c r="I46" s="57">
        <f t="shared" si="17"/>
        <v>0</v>
      </c>
      <c r="J46" s="57">
        <f t="shared" si="17"/>
        <v>0</v>
      </c>
      <c r="K46" s="57">
        <f t="shared" si="17"/>
        <v>0</v>
      </c>
      <c r="L46" s="57">
        <f t="shared" si="17"/>
        <v>0</v>
      </c>
      <c r="M46" s="57">
        <f t="shared" si="17"/>
        <v>0</v>
      </c>
      <c r="N46" s="58">
        <f t="shared" si="17"/>
        <v>0</v>
      </c>
    </row>
    <row r="47" spans="1:14" s="6" customFormat="1" ht="16.5" hidden="1" thickBot="1">
      <c r="A47" s="7" t="s">
        <v>354</v>
      </c>
      <c r="B47" s="15"/>
      <c r="C47" s="8">
        <f>C46*C$2</f>
        <v>0</v>
      </c>
      <c r="D47" s="8">
        <f t="shared" ref="D47:N47" si="18">D46*D$2</f>
        <v>0</v>
      </c>
      <c r="E47" s="8">
        <f t="shared" si="18"/>
        <v>0</v>
      </c>
      <c r="F47" s="8">
        <f t="shared" si="18"/>
        <v>0</v>
      </c>
      <c r="G47" s="8">
        <f t="shared" si="18"/>
        <v>0</v>
      </c>
      <c r="H47" s="8">
        <f t="shared" si="18"/>
        <v>0</v>
      </c>
      <c r="I47" s="8">
        <f t="shared" si="18"/>
        <v>0</v>
      </c>
      <c r="J47" s="8">
        <f t="shared" si="18"/>
        <v>0</v>
      </c>
      <c r="K47" s="8">
        <f t="shared" si="18"/>
        <v>0</v>
      </c>
      <c r="L47" s="8">
        <f t="shared" si="18"/>
        <v>0</v>
      </c>
      <c r="M47" s="8">
        <f t="shared" si="18"/>
        <v>0</v>
      </c>
      <c r="N47" s="27">
        <f t="shared" si="18"/>
        <v>0</v>
      </c>
    </row>
    <row r="48" spans="1:14">
      <c r="A48" s="3"/>
      <c r="B48" s="13"/>
      <c r="C48" s="2"/>
      <c r="D48" s="2"/>
      <c r="E48" s="2"/>
      <c r="F48" s="2"/>
      <c r="G48" s="2"/>
      <c r="H48" s="2"/>
      <c r="I48" s="2"/>
      <c r="J48" s="2"/>
      <c r="K48" s="2"/>
      <c r="L48" s="2"/>
      <c r="M48" s="2"/>
      <c r="N48" s="21"/>
    </row>
    <row r="49" spans="1:14">
      <c r="A49" s="9" t="s">
        <v>23</v>
      </c>
      <c r="B49" s="13"/>
      <c r="C49" s="2"/>
      <c r="D49" s="2"/>
      <c r="E49" s="2"/>
      <c r="F49" s="2"/>
      <c r="G49" s="2"/>
      <c r="H49" s="2"/>
      <c r="I49" s="2"/>
      <c r="J49" s="2"/>
      <c r="K49" s="2"/>
      <c r="L49" s="2"/>
      <c r="M49" s="2"/>
      <c r="N49" s="21"/>
    </row>
    <row r="50" spans="1:14" outlineLevel="1">
      <c r="A50" s="3" t="s">
        <v>298</v>
      </c>
      <c r="B50" s="13" t="s">
        <v>341</v>
      </c>
      <c r="C50" s="2">
        <f>'Revenues'!C50</f>
        <v>1</v>
      </c>
      <c r="D50" s="2">
        <f>'Revenues'!D50</f>
        <v>1</v>
      </c>
      <c r="E50" s="2">
        <f>'Revenues'!E50</f>
        <v>1</v>
      </c>
      <c r="F50" s="2">
        <f>'Revenues'!F50</f>
        <v>1</v>
      </c>
      <c r="G50" s="2">
        <f>'Revenues'!G50</f>
        <v>1</v>
      </c>
      <c r="H50" s="2">
        <f>'Revenues'!H50</f>
        <v>1</v>
      </c>
      <c r="I50" s="2">
        <f>'Revenues'!I50</f>
        <v>1</v>
      </c>
      <c r="J50" s="2">
        <f>'Revenues'!J50</f>
        <v>1</v>
      </c>
      <c r="K50" s="2">
        <f>'Revenues'!K50</f>
        <v>1</v>
      </c>
      <c r="L50" s="2">
        <f>'Revenues'!L50</f>
        <v>1</v>
      </c>
      <c r="M50" s="2">
        <f>'Revenues'!M50</f>
        <v>1</v>
      </c>
      <c r="N50" s="2">
        <f>'Revenues'!N50</f>
        <v>1</v>
      </c>
    </row>
    <row r="51" spans="1:14" outlineLevel="1">
      <c r="A51" s="3" t="s">
        <v>299</v>
      </c>
      <c r="B51" s="13"/>
      <c r="C51" s="23">
        <f>'Revenues'!C51</f>
        <v>10</v>
      </c>
      <c r="D51" s="23">
        <f>'Revenues'!D51</f>
        <v>10</v>
      </c>
      <c r="E51" s="23">
        <f>'Revenues'!E51</f>
        <v>10</v>
      </c>
      <c r="F51" s="23">
        <f>'Revenues'!F51</f>
        <v>10</v>
      </c>
      <c r="G51" s="23">
        <f>'Revenues'!G51</f>
        <v>10</v>
      </c>
      <c r="H51" s="23">
        <f>'Revenues'!H51</f>
        <v>10</v>
      </c>
      <c r="I51" s="23">
        <f>'Revenues'!I51</f>
        <v>10</v>
      </c>
      <c r="J51" s="23">
        <f>'Revenues'!J51</f>
        <v>10</v>
      </c>
      <c r="K51" s="23">
        <f>'Revenues'!K51</f>
        <v>10</v>
      </c>
      <c r="L51" s="23">
        <f>'Revenues'!L51</f>
        <v>10</v>
      </c>
      <c r="M51" s="23">
        <f>'Revenues'!M51</f>
        <v>10</v>
      </c>
      <c r="N51" s="23">
        <f>'Revenues'!N51</f>
        <v>10</v>
      </c>
    </row>
    <row r="52" spans="1:14" outlineLevel="1">
      <c r="A52" s="3" t="s">
        <v>355</v>
      </c>
      <c r="B52" s="13"/>
      <c r="C52" s="44">
        <f>'Cost Structure'!$B$6</f>
        <v>0</v>
      </c>
      <c r="D52" s="44">
        <f>'Cost Structure'!$B$6</f>
        <v>0</v>
      </c>
      <c r="E52" s="44">
        <f>'Cost Structure'!$B$6</f>
        <v>0</v>
      </c>
      <c r="F52" s="44">
        <f>'Cost Structure'!$B$6</f>
        <v>0</v>
      </c>
      <c r="G52" s="44">
        <f>'Cost Structure'!$B$6</f>
        <v>0</v>
      </c>
      <c r="H52" s="44">
        <f>'Cost Structure'!$B$6</f>
        <v>0</v>
      </c>
      <c r="I52" s="44">
        <f>'Cost Structure'!$B$6</f>
        <v>0</v>
      </c>
      <c r="J52" s="44">
        <f>'Cost Structure'!$B$6</f>
        <v>0</v>
      </c>
      <c r="K52" s="44">
        <f>'Cost Structure'!$B$6</f>
        <v>0</v>
      </c>
      <c r="L52" s="44">
        <f>'Cost Structure'!$B$6</f>
        <v>0</v>
      </c>
      <c r="M52" s="44">
        <f>'Cost Structure'!$B$6</f>
        <v>0</v>
      </c>
      <c r="N52" s="45">
        <f>'Cost Structure'!$B$6</f>
        <v>0</v>
      </c>
    </row>
    <row r="53" spans="1:14" outlineLevel="1">
      <c r="A53" s="3" t="s">
        <v>356</v>
      </c>
      <c r="B53" s="13"/>
      <c r="C53" s="23">
        <f>C50*C51*C52</f>
        <v>0</v>
      </c>
      <c r="D53" s="23">
        <f t="shared" ref="D53:N53" si="19">D50*D51*D52</f>
        <v>0</v>
      </c>
      <c r="E53" s="23">
        <f t="shared" si="19"/>
        <v>0</v>
      </c>
      <c r="F53" s="23">
        <f t="shared" si="19"/>
        <v>0</v>
      </c>
      <c r="G53" s="23">
        <f t="shared" si="19"/>
        <v>0</v>
      </c>
      <c r="H53" s="23">
        <f t="shared" si="19"/>
        <v>0</v>
      </c>
      <c r="I53" s="23">
        <f t="shared" si="19"/>
        <v>0</v>
      </c>
      <c r="J53" s="23">
        <f t="shared" si="19"/>
        <v>0</v>
      </c>
      <c r="K53" s="23">
        <f t="shared" si="19"/>
        <v>0</v>
      </c>
      <c r="L53" s="23">
        <f t="shared" si="19"/>
        <v>0</v>
      </c>
      <c r="M53" s="23">
        <f t="shared" si="19"/>
        <v>0</v>
      </c>
      <c r="N53" s="24">
        <f t="shared" si="19"/>
        <v>0</v>
      </c>
    </row>
    <row r="54" spans="1:14" s="6" customFormat="1">
      <c r="A54" s="5" t="s">
        <v>357</v>
      </c>
      <c r="B54" s="14"/>
      <c r="C54" s="18">
        <f>C53</f>
        <v>0</v>
      </c>
      <c r="D54" s="18">
        <f t="shared" ref="D54:N54" si="20">D53</f>
        <v>0</v>
      </c>
      <c r="E54" s="18">
        <f t="shared" si="20"/>
        <v>0</v>
      </c>
      <c r="F54" s="18">
        <f t="shared" si="20"/>
        <v>0</v>
      </c>
      <c r="G54" s="18">
        <f t="shared" si="20"/>
        <v>0</v>
      </c>
      <c r="H54" s="18">
        <f t="shared" si="20"/>
        <v>0</v>
      </c>
      <c r="I54" s="18">
        <f t="shared" si="20"/>
        <v>0</v>
      </c>
      <c r="J54" s="18">
        <f t="shared" si="20"/>
        <v>0</v>
      </c>
      <c r="K54" s="18">
        <f t="shared" si="20"/>
        <v>0</v>
      </c>
      <c r="L54" s="18">
        <f t="shared" si="20"/>
        <v>0</v>
      </c>
      <c r="M54" s="18">
        <f t="shared" si="20"/>
        <v>0</v>
      </c>
      <c r="N54" s="26">
        <f t="shared" si="20"/>
        <v>0</v>
      </c>
    </row>
    <row r="55" spans="1:14" s="6" customFormat="1" ht="16.5" thickBot="1">
      <c r="A55" s="7" t="s">
        <v>358</v>
      </c>
      <c r="B55" s="15"/>
      <c r="C55" s="8">
        <f>C54*C$2</f>
        <v>0</v>
      </c>
      <c r="D55" s="8">
        <f t="shared" ref="D55:N55" si="21">D54*D$2</f>
        <v>0</v>
      </c>
      <c r="E55" s="8">
        <f t="shared" si="21"/>
        <v>0</v>
      </c>
      <c r="F55" s="8">
        <f t="shared" si="21"/>
        <v>0</v>
      </c>
      <c r="G55" s="8">
        <f t="shared" si="21"/>
        <v>0</v>
      </c>
      <c r="H55" s="8">
        <f t="shared" si="21"/>
        <v>0</v>
      </c>
      <c r="I55" s="8">
        <f t="shared" si="21"/>
        <v>0</v>
      </c>
      <c r="J55" s="8">
        <f t="shared" si="21"/>
        <v>0</v>
      </c>
      <c r="K55" s="8">
        <f t="shared" si="21"/>
        <v>0</v>
      </c>
      <c r="L55" s="8">
        <f t="shared" si="21"/>
        <v>0</v>
      </c>
      <c r="M55" s="8">
        <f t="shared" si="21"/>
        <v>0</v>
      </c>
      <c r="N55" s="27">
        <f t="shared" si="21"/>
        <v>0</v>
      </c>
    </row>
    <row r="56" spans="1:14">
      <c r="A56" s="2"/>
      <c r="B56" s="13"/>
      <c r="C56" s="2"/>
      <c r="D56" s="2"/>
      <c r="E56" s="2"/>
      <c r="F56" s="2"/>
      <c r="G56" s="2"/>
      <c r="H56" s="2"/>
      <c r="I56" s="2"/>
      <c r="J56" s="2"/>
      <c r="K56" s="2"/>
      <c r="L56" s="2"/>
      <c r="M56" s="2"/>
      <c r="N56" s="21"/>
    </row>
    <row r="57" spans="1:14">
      <c r="A57" s="9" t="s">
        <v>9</v>
      </c>
      <c r="B57" s="13"/>
      <c r="C57" s="2"/>
      <c r="D57" s="2"/>
      <c r="E57" s="2"/>
      <c r="F57" s="2"/>
      <c r="G57" s="2"/>
      <c r="H57" s="2"/>
      <c r="I57" s="2"/>
      <c r="J57" s="2"/>
      <c r="K57" s="2"/>
      <c r="L57" s="2"/>
      <c r="M57" s="2"/>
      <c r="N57" s="21"/>
    </row>
    <row r="58" spans="1:14" outlineLevel="1">
      <c r="A58" s="3" t="s">
        <v>305</v>
      </c>
      <c r="B58" s="13"/>
      <c r="C58" s="29">
        <f>Revenues[[#This Row],[Jan-23]]</f>
        <v>0.05</v>
      </c>
      <c r="D58" s="29">
        <f>Revenues[[#This Row],[Jan-23]]</f>
        <v>0.05</v>
      </c>
      <c r="E58" s="29">
        <f>Revenues[[#This Row],[Jan-23]]</f>
        <v>0.05</v>
      </c>
      <c r="F58" s="29">
        <f>Revenues[[#This Row],[Jan-23]]</f>
        <v>0.05</v>
      </c>
      <c r="G58" s="29">
        <f>Revenues[[#This Row],[Jan-23]]</f>
        <v>0.05</v>
      </c>
      <c r="H58" s="29">
        <f>Revenues[[#This Row],[Jan-23]]</f>
        <v>0.05</v>
      </c>
      <c r="I58" s="29">
        <f>Revenues[[#This Row],[Jan-23]]</f>
        <v>0.05</v>
      </c>
      <c r="J58" s="29">
        <f>Revenues[[#This Row],[Jan-23]]</f>
        <v>0.05</v>
      </c>
      <c r="K58" s="29">
        <f>Revenues[[#This Row],[Jan-23]]</f>
        <v>0.05</v>
      </c>
      <c r="L58" s="29">
        <f>Revenues[[#This Row],[Jan-23]]</f>
        <v>0.05</v>
      </c>
      <c r="M58" s="29">
        <f>Revenues[[#This Row],[Jan-23]]</f>
        <v>0.05</v>
      </c>
      <c r="N58" s="29">
        <f>Revenues[[#This Row],[Jan-23]]</f>
        <v>0.05</v>
      </c>
    </row>
    <row r="59" spans="1:14" ht="17.45" customHeight="1" outlineLevel="1">
      <c r="A59" s="3" t="s">
        <v>306</v>
      </c>
      <c r="B59" s="13"/>
      <c r="C59" s="2">
        <f>ROUNDUP(C$2*C58,0)</f>
        <v>100</v>
      </c>
      <c r="D59" s="2">
        <f t="shared" ref="D59:N59" si="22">ROUNDUP(D$2*D58,0)</f>
        <v>149</v>
      </c>
      <c r="E59" s="2">
        <f t="shared" si="22"/>
        <v>220</v>
      </c>
      <c r="F59" s="2">
        <f t="shared" si="22"/>
        <v>325</v>
      </c>
      <c r="G59" s="2">
        <f t="shared" si="22"/>
        <v>481</v>
      </c>
      <c r="H59" s="2">
        <f t="shared" si="22"/>
        <v>713</v>
      </c>
      <c r="I59" s="2">
        <f t="shared" si="22"/>
        <v>1055</v>
      </c>
      <c r="J59" s="2">
        <f t="shared" si="22"/>
        <v>1562</v>
      </c>
      <c r="K59" s="2">
        <f t="shared" si="22"/>
        <v>2312</v>
      </c>
      <c r="L59" s="2">
        <f t="shared" si="22"/>
        <v>3424</v>
      </c>
      <c r="M59" s="2">
        <f t="shared" si="22"/>
        <v>5069</v>
      </c>
      <c r="N59" s="2">
        <f t="shared" si="22"/>
        <v>7500</v>
      </c>
    </row>
    <row r="60" spans="1:14" ht="17.45" customHeight="1" outlineLevel="1">
      <c r="A60" s="3" t="s">
        <v>359</v>
      </c>
      <c r="B60" s="13"/>
      <c r="C60" s="2">
        <f>C59</f>
        <v>100</v>
      </c>
      <c r="D60" s="2">
        <f>D59-C60</f>
        <v>49</v>
      </c>
      <c r="E60" s="2">
        <f t="shared" ref="E60:N60" si="23">E59-D60</f>
        <v>171</v>
      </c>
      <c r="F60" s="2">
        <f t="shared" si="23"/>
        <v>154</v>
      </c>
      <c r="G60" s="2">
        <f t="shared" si="23"/>
        <v>327</v>
      </c>
      <c r="H60" s="2">
        <f t="shared" si="23"/>
        <v>386</v>
      </c>
      <c r="I60" s="2">
        <f t="shared" si="23"/>
        <v>669</v>
      </c>
      <c r="J60" s="2">
        <f t="shared" si="23"/>
        <v>893</v>
      </c>
      <c r="K60" s="2">
        <f t="shared" si="23"/>
        <v>1419</v>
      </c>
      <c r="L60" s="2">
        <f t="shared" si="23"/>
        <v>2005</v>
      </c>
      <c r="M60" s="2">
        <f t="shared" si="23"/>
        <v>3064</v>
      </c>
      <c r="N60" s="2">
        <f t="shared" si="23"/>
        <v>4436</v>
      </c>
    </row>
    <row r="61" spans="1:14" outlineLevel="1">
      <c r="A61" s="3" t="s">
        <v>228</v>
      </c>
      <c r="B61" s="13"/>
      <c r="C61" s="43">
        <f>'Cost Structure'!$B$10</f>
        <v>10</v>
      </c>
      <c r="D61" s="43">
        <f>'Cost Structure'!$B$10</f>
        <v>10</v>
      </c>
      <c r="E61" s="43">
        <f>'Cost Structure'!$B$10</f>
        <v>10</v>
      </c>
      <c r="F61" s="43">
        <f>'Cost Structure'!$B$10</f>
        <v>10</v>
      </c>
      <c r="G61" s="43">
        <f>'Cost Structure'!$B$10</f>
        <v>10</v>
      </c>
      <c r="H61" s="43">
        <f>'Cost Structure'!$B$10</f>
        <v>10</v>
      </c>
      <c r="I61" s="43">
        <f>'Cost Structure'!$B$10</f>
        <v>10</v>
      </c>
      <c r="J61" s="43">
        <f>'Cost Structure'!$B$10</f>
        <v>10</v>
      </c>
      <c r="K61" s="43">
        <f>'Cost Structure'!$B$10</f>
        <v>10</v>
      </c>
      <c r="L61" s="43">
        <f>'Cost Structure'!$B$10</f>
        <v>10</v>
      </c>
      <c r="M61" s="43">
        <f>'Cost Structure'!$B$10</f>
        <v>10</v>
      </c>
      <c r="N61" s="46">
        <f>'Cost Structure'!$B$10</f>
        <v>10</v>
      </c>
    </row>
    <row r="62" spans="1:14" outlineLevel="1">
      <c r="A62" s="3" t="s">
        <v>360</v>
      </c>
      <c r="B62" s="13"/>
      <c r="C62" s="43">
        <f>'Cost Structure'!$B$9</f>
        <v>0.46300000000000002</v>
      </c>
      <c r="D62" s="43">
        <f>'Cost Structure'!$B$9</f>
        <v>0.46300000000000002</v>
      </c>
      <c r="E62" s="43">
        <f>'Cost Structure'!$B$9</f>
        <v>0.46300000000000002</v>
      </c>
      <c r="F62" s="43">
        <f>'Cost Structure'!$B$9</f>
        <v>0.46300000000000002</v>
      </c>
      <c r="G62" s="43">
        <f>'Cost Structure'!$B$9</f>
        <v>0.46300000000000002</v>
      </c>
      <c r="H62" s="43">
        <f>'Cost Structure'!$B$9</f>
        <v>0.46300000000000002</v>
      </c>
      <c r="I62" s="43">
        <f>'Cost Structure'!$B$9</f>
        <v>0.46300000000000002</v>
      </c>
      <c r="J62" s="43">
        <f>'Cost Structure'!$B$9</f>
        <v>0.46300000000000002</v>
      </c>
      <c r="K62" s="43">
        <f>'Cost Structure'!$B$9</f>
        <v>0.46300000000000002</v>
      </c>
      <c r="L62" s="43">
        <f>'Cost Structure'!$B$9</f>
        <v>0.46300000000000002</v>
      </c>
      <c r="M62" s="43">
        <f>'Cost Structure'!$B$9</f>
        <v>0.46300000000000002</v>
      </c>
      <c r="N62" s="46">
        <f>'Cost Structure'!$B$9</f>
        <v>0.46300000000000002</v>
      </c>
    </row>
    <row r="63" spans="1:14" s="6" customFormat="1">
      <c r="A63" s="5" t="s">
        <v>361</v>
      </c>
      <c r="B63" s="14"/>
      <c r="C63" s="18">
        <f>C62</f>
        <v>0.46300000000000002</v>
      </c>
      <c r="D63" s="18">
        <f t="shared" ref="D63:N63" si="24">D62</f>
        <v>0.46300000000000002</v>
      </c>
      <c r="E63" s="18">
        <f t="shared" si="24"/>
        <v>0.46300000000000002</v>
      </c>
      <c r="F63" s="18">
        <f t="shared" si="24"/>
        <v>0.46300000000000002</v>
      </c>
      <c r="G63" s="18">
        <f t="shared" si="24"/>
        <v>0.46300000000000002</v>
      </c>
      <c r="H63" s="18">
        <f t="shared" si="24"/>
        <v>0.46300000000000002</v>
      </c>
      <c r="I63" s="18">
        <f t="shared" si="24"/>
        <v>0.46300000000000002</v>
      </c>
      <c r="J63" s="18">
        <f t="shared" si="24"/>
        <v>0.46300000000000002</v>
      </c>
      <c r="K63" s="18">
        <f t="shared" si="24"/>
        <v>0.46300000000000002</v>
      </c>
      <c r="L63" s="18">
        <f t="shared" si="24"/>
        <v>0.46300000000000002</v>
      </c>
      <c r="M63" s="18">
        <f t="shared" si="24"/>
        <v>0.46300000000000002</v>
      </c>
      <c r="N63" s="18">
        <f t="shared" si="24"/>
        <v>0.46300000000000002</v>
      </c>
    </row>
    <row r="64" spans="1:14" s="6" customFormat="1" ht="16.5" thickBot="1">
      <c r="A64" s="7" t="s">
        <v>362</v>
      </c>
      <c r="B64" s="15"/>
      <c r="C64" s="8">
        <f>(C63*C59)+(C60*C61)</f>
        <v>1046.3</v>
      </c>
      <c r="D64" s="8">
        <f t="shared" ref="D64:M64" si="25">(D63*D59)+(D60*D61)</f>
        <v>558.98699999999997</v>
      </c>
      <c r="E64" s="8">
        <f>(E63*E59)+(E60*E61)</f>
        <v>1811.86</v>
      </c>
      <c r="F64" s="8">
        <f t="shared" si="25"/>
        <v>1690.4749999999999</v>
      </c>
      <c r="G64" s="8">
        <f t="shared" si="25"/>
        <v>3492.703</v>
      </c>
      <c r="H64" s="8">
        <f t="shared" si="25"/>
        <v>4190.1189999999997</v>
      </c>
      <c r="I64" s="8">
        <f t="shared" si="25"/>
        <v>7178.4650000000001</v>
      </c>
      <c r="J64" s="8">
        <f t="shared" si="25"/>
        <v>9653.2060000000001</v>
      </c>
      <c r="K64" s="8">
        <f t="shared" si="25"/>
        <v>15260.456</v>
      </c>
      <c r="L64" s="8">
        <f t="shared" si="25"/>
        <v>21635.312000000002</v>
      </c>
      <c r="M64" s="8">
        <f t="shared" si="25"/>
        <v>32986.947</v>
      </c>
      <c r="N64" s="8">
        <f>(N63*N59)+(N60*N61)</f>
        <v>47832.5</v>
      </c>
    </row>
    <row r="65" spans="1:14">
      <c r="A65" s="3"/>
      <c r="B65" s="13"/>
      <c r="C65" s="2"/>
      <c r="D65" s="2"/>
      <c r="E65" s="2"/>
      <c r="F65" s="2"/>
      <c r="G65" s="2"/>
      <c r="H65" s="2"/>
      <c r="I65" s="2"/>
      <c r="J65" s="2"/>
      <c r="K65" s="2"/>
      <c r="L65" s="2"/>
      <c r="M65" s="2"/>
      <c r="N65" s="21"/>
    </row>
    <row r="66" spans="1:14" hidden="1">
      <c r="A66" s="9" t="s">
        <v>24</v>
      </c>
      <c r="B66" s="13"/>
      <c r="C66" s="2"/>
      <c r="D66" s="2"/>
      <c r="E66" s="2"/>
      <c r="F66" s="2"/>
      <c r="G66" s="2"/>
      <c r="H66" s="2"/>
      <c r="I66" s="2"/>
      <c r="J66" s="2"/>
      <c r="K66" s="2"/>
      <c r="L66" s="2"/>
      <c r="M66" s="2"/>
      <c r="N66" s="21"/>
    </row>
    <row r="67" spans="1:14" hidden="1" outlineLevel="1">
      <c r="A67" s="3" t="s">
        <v>310</v>
      </c>
      <c r="B67" s="13"/>
      <c r="C67" s="23">
        <f t="shared" ref="C67:N67" si="26">C14*C15*C$2</f>
        <v>0</v>
      </c>
      <c r="D67" s="23">
        <f t="shared" si="26"/>
        <v>1777200</v>
      </c>
      <c r="E67" s="23">
        <f t="shared" si="26"/>
        <v>2631600</v>
      </c>
      <c r="F67" s="23">
        <f t="shared" si="26"/>
        <v>3897000</v>
      </c>
      <c r="G67" s="23">
        <f t="shared" si="26"/>
        <v>5770800</v>
      </c>
      <c r="H67" s="23">
        <f t="shared" si="26"/>
        <v>8545200</v>
      </c>
      <c r="I67" s="23">
        <f t="shared" si="26"/>
        <v>12653400</v>
      </c>
      <c r="J67" s="23">
        <f t="shared" si="26"/>
        <v>18736200</v>
      </c>
      <c r="K67" s="23">
        <f t="shared" si="26"/>
        <v>27742800</v>
      </c>
      <c r="L67" s="23">
        <f t="shared" si="26"/>
        <v>41079000</v>
      </c>
      <c r="M67" s="23">
        <f t="shared" si="26"/>
        <v>60826200</v>
      </c>
      <c r="N67" s="24">
        <f t="shared" si="26"/>
        <v>90000000</v>
      </c>
    </row>
    <row r="68" spans="1:14" hidden="1" outlineLevel="1">
      <c r="A68" s="3" t="s">
        <v>311</v>
      </c>
      <c r="B68" s="13"/>
      <c r="C68" s="23">
        <f t="shared" ref="C68:N68" si="27">(C34*C35*C$2)+(C42*C43*C$2)</f>
        <v>480000</v>
      </c>
      <c r="D68" s="23">
        <f t="shared" si="27"/>
        <v>710880</v>
      </c>
      <c r="E68" s="23">
        <f t="shared" si="27"/>
        <v>1052640</v>
      </c>
      <c r="F68" s="23">
        <f t="shared" si="27"/>
        <v>1558800</v>
      </c>
      <c r="G68" s="23">
        <f t="shared" si="27"/>
        <v>2308320</v>
      </c>
      <c r="H68" s="23">
        <f t="shared" si="27"/>
        <v>3418080</v>
      </c>
      <c r="I68" s="23">
        <f t="shared" si="27"/>
        <v>5061360</v>
      </c>
      <c r="J68" s="23">
        <f t="shared" si="27"/>
        <v>7494480</v>
      </c>
      <c r="K68" s="23">
        <f t="shared" si="27"/>
        <v>11097120</v>
      </c>
      <c r="L68" s="23">
        <f t="shared" si="27"/>
        <v>16431600</v>
      </c>
      <c r="M68" s="23">
        <f t="shared" si="27"/>
        <v>24330480</v>
      </c>
      <c r="N68" s="24">
        <f t="shared" si="27"/>
        <v>36000000</v>
      </c>
    </row>
    <row r="69" spans="1:14" hidden="1" outlineLevel="1">
      <c r="A69" s="3" t="s">
        <v>312</v>
      </c>
      <c r="B69" s="13"/>
      <c r="C69" s="23">
        <f>C67-C68</f>
        <v>-480000</v>
      </c>
      <c r="D69" s="23">
        <f t="shared" ref="D69:N69" si="28">D67-D68</f>
        <v>1066320</v>
      </c>
      <c r="E69" s="23">
        <f t="shared" si="28"/>
        <v>1578960</v>
      </c>
      <c r="F69" s="23">
        <f t="shared" si="28"/>
        <v>2338200</v>
      </c>
      <c r="G69" s="23">
        <f t="shared" si="28"/>
        <v>3462480</v>
      </c>
      <c r="H69" s="23">
        <f t="shared" si="28"/>
        <v>5127120</v>
      </c>
      <c r="I69" s="23">
        <f t="shared" si="28"/>
        <v>7592040</v>
      </c>
      <c r="J69" s="23">
        <f t="shared" si="28"/>
        <v>11241720</v>
      </c>
      <c r="K69" s="23">
        <f t="shared" si="28"/>
        <v>16645680</v>
      </c>
      <c r="L69" s="23">
        <f t="shared" si="28"/>
        <v>24647400</v>
      </c>
      <c r="M69" s="23">
        <f t="shared" si="28"/>
        <v>36495720</v>
      </c>
      <c r="N69" s="24">
        <f t="shared" si="28"/>
        <v>54000000</v>
      </c>
    </row>
    <row r="70" spans="1:14" hidden="1" outlineLevel="1">
      <c r="A70" s="3" t="s">
        <v>313</v>
      </c>
      <c r="B70" s="13"/>
      <c r="C70" s="29">
        <f>'Revenues'!C68</f>
        <v>0.5</v>
      </c>
      <c r="D70" s="29">
        <f>'Revenues'!D68</f>
        <v>0.5</v>
      </c>
      <c r="E70" s="29">
        <f>'Revenues'!E68</f>
        <v>0.5</v>
      </c>
      <c r="F70" s="29">
        <f>'Revenues'!F68</f>
        <v>0.5</v>
      </c>
      <c r="G70" s="29">
        <f>'Revenues'!G68</f>
        <v>0.5</v>
      </c>
      <c r="H70" s="29">
        <f>'Revenues'!H68</f>
        <v>0.5</v>
      </c>
      <c r="I70" s="29">
        <f>'Revenues'!I68</f>
        <v>0.5</v>
      </c>
      <c r="J70" s="29">
        <f>'Revenues'!J68</f>
        <v>0.5</v>
      </c>
      <c r="K70" s="29">
        <f>'Revenues'!K68</f>
        <v>0.5</v>
      </c>
      <c r="L70" s="29">
        <f>'Revenues'!L68</f>
        <v>0.5</v>
      </c>
      <c r="M70" s="29">
        <f>'Revenues'!M68</f>
        <v>0.5</v>
      </c>
      <c r="N70" s="29">
        <f>'Revenues'!N68</f>
        <v>0.5</v>
      </c>
    </row>
    <row r="71" spans="1:14" hidden="1" outlineLevel="1">
      <c r="A71" s="3" t="s">
        <v>315</v>
      </c>
      <c r="B71" s="13"/>
      <c r="C71" s="29">
        <f>1-C70</f>
        <v>0.5</v>
      </c>
      <c r="D71" s="29">
        <f t="shared" ref="D71:N71" si="29">1-D70</f>
        <v>0.5</v>
      </c>
      <c r="E71" s="29">
        <f t="shared" si="29"/>
        <v>0.5</v>
      </c>
      <c r="F71" s="29">
        <f t="shared" si="29"/>
        <v>0.5</v>
      </c>
      <c r="G71" s="29">
        <f t="shared" si="29"/>
        <v>0.5</v>
      </c>
      <c r="H71" s="29">
        <f t="shared" si="29"/>
        <v>0.5</v>
      </c>
      <c r="I71" s="29">
        <f t="shared" si="29"/>
        <v>0.5</v>
      </c>
      <c r="J71" s="29">
        <f t="shared" si="29"/>
        <v>0.5</v>
      </c>
      <c r="K71" s="29">
        <f t="shared" si="29"/>
        <v>0.5</v>
      </c>
      <c r="L71" s="29">
        <f t="shared" si="29"/>
        <v>0.5</v>
      </c>
      <c r="M71" s="29">
        <f t="shared" si="29"/>
        <v>0.5</v>
      </c>
      <c r="N71" s="30">
        <f t="shared" si="29"/>
        <v>0.5</v>
      </c>
    </row>
    <row r="72" spans="1:14" hidden="1" outlineLevel="1">
      <c r="A72" s="3" t="s">
        <v>363</v>
      </c>
      <c r="B72" s="13"/>
      <c r="C72" s="76">
        <f>'Cost Structure'!$B$11</f>
        <v>0</v>
      </c>
      <c r="D72" s="76">
        <f>'Cost Structure'!$B$11</f>
        <v>0</v>
      </c>
      <c r="E72" s="76">
        <f>'Cost Structure'!$B$11</f>
        <v>0</v>
      </c>
      <c r="F72" s="76">
        <f>'Cost Structure'!$B$11</f>
        <v>0</v>
      </c>
      <c r="G72" s="76">
        <f>'Cost Structure'!$B$11</f>
        <v>0</v>
      </c>
      <c r="H72" s="76">
        <f>'Cost Structure'!$B$11</f>
        <v>0</v>
      </c>
      <c r="I72" s="76">
        <f>'Cost Structure'!$B$11</f>
        <v>0</v>
      </c>
      <c r="J72" s="76">
        <f>'Cost Structure'!$B$11</f>
        <v>0</v>
      </c>
      <c r="K72" s="76">
        <f>'Cost Structure'!$B$11</f>
        <v>0</v>
      </c>
      <c r="L72" s="76">
        <f>'Cost Structure'!$B$11</f>
        <v>0</v>
      </c>
      <c r="M72" s="76">
        <f>'Cost Structure'!$B$11</f>
        <v>0</v>
      </c>
      <c r="N72" s="77">
        <f>'Cost Structure'!$B$11</f>
        <v>0</v>
      </c>
    </row>
    <row r="73" spans="1:14" hidden="1" outlineLevel="1">
      <c r="A73" s="3" t="s">
        <v>318</v>
      </c>
      <c r="B73" s="13"/>
      <c r="C73" s="22">
        <f>C69*C71</f>
        <v>-240000</v>
      </c>
      <c r="D73" s="43">
        <f>(D69*D71)-(C73)</f>
        <v>773160</v>
      </c>
      <c r="E73" s="43">
        <f t="shared" ref="E73:N73" si="30">(E69*E71)-(D73)</f>
        <v>16320</v>
      </c>
      <c r="F73" s="43">
        <f t="shared" si="30"/>
        <v>1152780</v>
      </c>
      <c r="G73" s="43">
        <f t="shared" si="30"/>
        <v>578460</v>
      </c>
      <c r="H73" s="43">
        <f t="shared" si="30"/>
        <v>1985100</v>
      </c>
      <c r="I73" s="43">
        <f t="shared" si="30"/>
        <v>1810920</v>
      </c>
      <c r="J73" s="43">
        <f t="shared" si="30"/>
        <v>3809940</v>
      </c>
      <c r="K73" s="43">
        <f t="shared" si="30"/>
        <v>4512900</v>
      </c>
      <c r="L73" s="43">
        <f t="shared" si="30"/>
        <v>7810800</v>
      </c>
      <c r="M73" s="43">
        <f t="shared" si="30"/>
        <v>10437060</v>
      </c>
      <c r="N73" s="43">
        <f t="shared" si="30"/>
        <v>16562940</v>
      </c>
    </row>
    <row r="74" spans="1:14" hidden="1" outlineLevel="1">
      <c r="A74" s="3" t="s">
        <v>57</v>
      </c>
      <c r="B74" s="13"/>
      <c r="C74" s="78">
        <v>12</v>
      </c>
      <c r="D74" s="78">
        <v>11</v>
      </c>
      <c r="E74" s="78">
        <v>10</v>
      </c>
      <c r="F74" s="78">
        <v>9</v>
      </c>
      <c r="G74" s="78">
        <v>8</v>
      </c>
      <c r="H74" s="78">
        <v>7</v>
      </c>
      <c r="I74" s="78">
        <v>6</v>
      </c>
      <c r="J74" s="78">
        <v>5</v>
      </c>
      <c r="K74" s="78">
        <v>4</v>
      </c>
      <c r="L74" s="78">
        <v>3</v>
      </c>
      <c r="M74" s="78">
        <v>2</v>
      </c>
      <c r="N74" s="78">
        <v>1</v>
      </c>
    </row>
    <row r="75" spans="1:14" hidden="1" outlineLevel="1">
      <c r="A75" s="3" t="s">
        <v>58</v>
      </c>
      <c r="B75" s="13"/>
      <c r="C75" s="44">
        <f>C72*(C74/12)</f>
        <v>0</v>
      </c>
      <c r="D75" s="44">
        <f t="shared" ref="D75:N75" si="31">D72*(D74/12)</f>
        <v>0</v>
      </c>
      <c r="E75" s="44">
        <f t="shared" si="31"/>
        <v>0</v>
      </c>
      <c r="F75" s="44">
        <f t="shared" si="31"/>
        <v>0</v>
      </c>
      <c r="G75" s="44">
        <f t="shared" si="31"/>
        <v>0</v>
      </c>
      <c r="H75" s="44">
        <f t="shared" si="31"/>
        <v>0</v>
      </c>
      <c r="I75" s="44">
        <f t="shared" si="31"/>
        <v>0</v>
      </c>
      <c r="J75" s="44">
        <f t="shared" si="31"/>
        <v>0</v>
      </c>
      <c r="K75" s="44">
        <f t="shared" si="31"/>
        <v>0</v>
      </c>
      <c r="L75" s="44">
        <f t="shared" si="31"/>
        <v>0</v>
      </c>
      <c r="M75" s="44">
        <f t="shared" si="31"/>
        <v>0</v>
      </c>
      <c r="N75" s="44">
        <f t="shared" si="31"/>
        <v>0</v>
      </c>
    </row>
    <row r="76" spans="1:14" hidden="1" outlineLevel="1">
      <c r="A76" s="3" t="s">
        <v>364</v>
      </c>
      <c r="B76" s="13"/>
      <c r="C76" s="23">
        <f>(C73)*(C75)</f>
        <v>0</v>
      </c>
      <c r="D76" s="23">
        <f t="shared" ref="D76:N76" si="32">(D73)*(D75)</f>
        <v>0</v>
      </c>
      <c r="E76" s="23">
        <f t="shared" si="32"/>
        <v>0</v>
      </c>
      <c r="F76" s="23">
        <f t="shared" si="32"/>
        <v>0</v>
      </c>
      <c r="G76" s="23">
        <f t="shared" si="32"/>
        <v>0</v>
      </c>
      <c r="H76" s="23">
        <f t="shared" si="32"/>
        <v>0</v>
      </c>
      <c r="I76" s="23">
        <f t="shared" si="32"/>
        <v>0</v>
      </c>
      <c r="J76" s="23">
        <f t="shared" si="32"/>
        <v>0</v>
      </c>
      <c r="K76" s="23">
        <f t="shared" si="32"/>
        <v>0</v>
      </c>
      <c r="L76" s="23">
        <f t="shared" si="32"/>
        <v>0</v>
      </c>
      <c r="M76" s="23">
        <f t="shared" si="32"/>
        <v>0</v>
      </c>
      <c r="N76" s="23">
        <f t="shared" si="32"/>
        <v>0</v>
      </c>
    </row>
    <row r="77" spans="1:14" s="6" customFormat="1" ht="16.5" hidden="1" collapsed="1" thickBot="1">
      <c r="A77" s="7" t="s">
        <v>365</v>
      </c>
      <c r="B77" s="15"/>
      <c r="C77" s="8">
        <f>C76</f>
        <v>0</v>
      </c>
      <c r="D77" s="8">
        <f t="shared" ref="D77:N77" si="33">D76</f>
        <v>0</v>
      </c>
      <c r="E77" s="8">
        <f t="shared" si="33"/>
        <v>0</v>
      </c>
      <c r="F77" s="8">
        <f t="shared" si="33"/>
        <v>0</v>
      </c>
      <c r="G77" s="8">
        <f t="shared" si="33"/>
        <v>0</v>
      </c>
      <c r="H77" s="8">
        <f t="shared" si="33"/>
        <v>0</v>
      </c>
      <c r="I77" s="8">
        <f t="shared" si="33"/>
        <v>0</v>
      </c>
      <c r="J77" s="8">
        <f t="shared" si="33"/>
        <v>0</v>
      </c>
      <c r="K77" s="8">
        <f t="shared" si="33"/>
        <v>0</v>
      </c>
      <c r="L77" s="8">
        <f t="shared" si="33"/>
        <v>0</v>
      </c>
      <c r="M77" s="8">
        <f t="shared" si="33"/>
        <v>0</v>
      </c>
      <c r="N77" s="27">
        <f t="shared" si="33"/>
        <v>0</v>
      </c>
    </row>
    <row r="78" spans="1:14">
      <c r="A78" s="5"/>
      <c r="B78" s="14"/>
      <c r="C78" s="18"/>
      <c r="D78" s="1"/>
      <c r="E78" s="1"/>
      <c r="F78" s="1"/>
      <c r="G78" s="1"/>
      <c r="H78" s="1"/>
      <c r="I78" s="1"/>
      <c r="J78" s="1"/>
      <c r="K78" s="1"/>
      <c r="L78" s="1"/>
      <c r="M78" s="1"/>
      <c r="N78" s="31"/>
    </row>
    <row r="79" spans="1:14">
      <c r="A79" s="9" t="s">
        <v>366</v>
      </c>
      <c r="B79" s="14"/>
      <c r="C79" s="18">
        <f t="shared" ref="C79:N79" si="34">C22+C30+C38+C46+C54+C63</f>
        <v>0.58299999999999996</v>
      </c>
      <c r="D79" s="18">
        <f t="shared" si="34"/>
        <v>0.58299999999999996</v>
      </c>
      <c r="E79" s="18">
        <f t="shared" si="34"/>
        <v>0.58299999999999996</v>
      </c>
      <c r="F79" s="18">
        <f t="shared" si="34"/>
        <v>0.58299999999999996</v>
      </c>
      <c r="G79" s="18">
        <f t="shared" si="34"/>
        <v>0.58299999999999996</v>
      </c>
      <c r="H79" s="18">
        <f t="shared" si="34"/>
        <v>0.58299999999999996</v>
      </c>
      <c r="I79" s="18">
        <f t="shared" si="34"/>
        <v>0.58299999999999996</v>
      </c>
      <c r="J79" s="18">
        <f t="shared" si="34"/>
        <v>0.58299999999999996</v>
      </c>
      <c r="K79" s="18">
        <f t="shared" si="34"/>
        <v>0.58299999999999996</v>
      </c>
      <c r="L79" s="18">
        <f t="shared" si="34"/>
        <v>0.58299999999999996</v>
      </c>
      <c r="M79" s="18">
        <f t="shared" si="34"/>
        <v>0.58299999999999996</v>
      </c>
      <c r="N79" s="26">
        <f t="shared" si="34"/>
        <v>0.58299999999999996</v>
      </c>
    </row>
    <row r="80" spans="1:14">
      <c r="A80" s="9" t="s">
        <v>367</v>
      </c>
      <c r="B80" s="14"/>
      <c r="C80" s="18">
        <f t="shared" ref="C80:N80" si="35">C11+C23+C31+C39+C47+C55+C64</f>
        <v>25994.3</v>
      </c>
      <c r="D80" s="18">
        <f t="shared" si="35"/>
        <v>12798.974999999999</v>
      </c>
      <c r="E80" s="18">
        <f t="shared" si="35"/>
        <v>19930.275999999998</v>
      </c>
      <c r="F80" s="18">
        <f t="shared" si="35"/>
        <v>28524.460999999999</v>
      </c>
      <c r="G80" s="18">
        <f t="shared" si="35"/>
        <v>43228.404999999992</v>
      </c>
      <c r="H80" s="18">
        <f t="shared" si="35"/>
        <v>63024.054999999993</v>
      </c>
      <c r="I80" s="18">
        <f t="shared" si="35"/>
        <v>94296.982999999978</v>
      </c>
      <c r="J80" s="18">
        <f t="shared" si="35"/>
        <v>138645.29800000001</v>
      </c>
      <c r="K80" s="18">
        <f t="shared" si="35"/>
        <v>206254.91</v>
      </c>
      <c r="L80" s="18">
        <f t="shared" si="35"/>
        <v>304443.46999999997</v>
      </c>
      <c r="M80" s="18">
        <f t="shared" si="35"/>
        <v>451747.03499999997</v>
      </c>
      <c r="N80" s="26">
        <f t="shared" si="35"/>
        <v>666521.04200000002</v>
      </c>
    </row>
    <row r="81" spans="1:14">
      <c r="A81" s="9" t="s">
        <v>368</v>
      </c>
      <c r="B81" s="14"/>
      <c r="C81" s="18">
        <f t="shared" ref="C81:N81" si="36">C77</f>
        <v>0</v>
      </c>
      <c r="D81" s="18">
        <f t="shared" si="36"/>
        <v>0</v>
      </c>
      <c r="E81" s="18">
        <f t="shared" si="36"/>
        <v>0</v>
      </c>
      <c r="F81" s="18">
        <f t="shared" si="36"/>
        <v>0</v>
      </c>
      <c r="G81" s="18">
        <f t="shared" si="36"/>
        <v>0</v>
      </c>
      <c r="H81" s="18">
        <f t="shared" si="36"/>
        <v>0</v>
      </c>
      <c r="I81" s="18">
        <f t="shared" si="36"/>
        <v>0</v>
      </c>
      <c r="J81" s="18">
        <f t="shared" si="36"/>
        <v>0</v>
      </c>
      <c r="K81" s="18">
        <f t="shared" si="36"/>
        <v>0</v>
      </c>
      <c r="L81" s="18">
        <f t="shared" si="36"/>
        <v>0</v>
      </c>
      <c r="M81" s="18">
        <f t="shared" si="36"/>
        <v>0</v>
      </c>
      <c r="N81" s="26">
        <f t="shared" si="36"/>
        <v>0</v>
      </c>
    </row>
    <row r="82" spans="1:14">
      <c r="A82" s="9" t="s">
        <v>369</v>
      </c>
      <c r="B82" s="14"/>
      <c r="C82" s="18">
        <f t="shared" ref="C82:N82" si="37">SUM(C80:C81)</f>
        <v>25994.3</v>
      </c>
      <c r="D82" s="18">
        <f t="shared" si="37"/>
        <v>12798.974999999999</v>
      </c>
      <c r="E82" s="18">
        <f t="shared" si="37"/>
        <v>19930.275999999998</v>
      </c>
      <c r="F82" s="18">
        <f t="shared" si="37"/>
        <v>28524.460999999999</v>
      </c>
      <c r="G82" s="18">
        <f t="shared" si="37"/>
        <v>43228.404999999992</v>
      </c>
      <c r="H82" s="18">
        <f t="shared" si="37"/>
        <v>63024.054999999993</v>
      </c>
      <c r="I82" s="18">
        <f t="shared" si="37"/>
        <v>94296.982999999978</v>
      </c>
      <c r="J82" s="18">
        <f t="shared" si="37"/>
        <v>138645.29800000001</v>
      </c>
      <c r="K82" s="18">
        <f t="shared" si="37"/>
        <v>206254.91</v>
      </c>
      <c r="L82" s="18">
        <f t="shared" si="37"/>
        <v>304443.46999999997</v>
      </c>
      <c r="M82" s="18">
        <f t="shared" si="37"/>
        <v>451747.03499999997</v>
      </c>
      <c r="N82" s="18">
        <f t="shared" si="37"/>
        <v>666521.04200000002</v>
      </c>
    </row>
    <row r="83" spans="1:14" ht="16.5" thickBot="1">
      <c r="A83" s="11" t="s">
        <v>370</v>
      </c>
      <c r="B83" s="40"/>
      <c r="C83" s="12">
        <f>C82</f>
        <v>25994.3</v>
      </c>
      <c r="D83" s="12">
        <f>D82+C83</f>
        <v>38793.274999999994</v>
      </c>
      <c r="E83" s="12">
        <f t="shared" ref="E83:N83" si="38">E82+D83</f>
        <v>58723.550999999992</v>
      </c>
      <c r="F83" s="12">
        <f t="shared" si="38"/>
        <v>87248.011999999988</v>
      </c>
      <c r="G83" s="12">
        <f t="shared" si="38"/>
        <v>130476.41699999999</v>
      </c>
      <c r="H83" s="12">
        <f t="shared" si="38"/>
        <v>193500.47199999998</v>
      </c>
      <c r="I83" s="12">
        <f t="shared" si="38"/>
        <v>287797.45499999996</v>
      </c>
      <c r="J83" s="12">
        <f t="shared" si="38"/>
        <v>426442.75299999997</v>
      </c>
      <c r="K83" s="12">
        <f t="shared" si="38"/>
        <v>632697.66299999994</v>
      </c>
      <c r="L83" s="12">
        <f t="shared" si="38"/>
        <v>937141.13299999991</v>
      </c>
      <c r="M83" s="12">
        <f t="shared" si="38"/>
        <v>1388888.1679999998</v>
      </c>
      <c r="N83" s="32">
        <f t="shared" si="38"/>
        <v>2055409.21</v>
      </c>
    </row>
    <row r="84" spans="1:14" ht="16.5" thickTop="1"/>
  </sheetData>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5FD48-B2BC-0345-9C85-025892976CCC}">
  <dimension ref="A1:O18"/>
  <sheetViews>
    <sheetView showGridLines="0" workbookViewId="0">
      <selection activeCell="E26" sqref="E26"/>
    </sheetView>
  </sheetViews>
  <sheetFormatPr defaultColWidth="11" defaultRowHeight="15.75" outlineLevelRow="1"/>
  <cols>
    <col min="1" max="1" width="27.75" bestFit="1" customWidth="1"/>
    <col min="2" max="2" width="24.375" bestFit="1" customWidth="1"/>
    <col min="3" max="14" width="13.375" customWidth="1"/>
  </cols>
  <sheetData>
    <row r="1" spans="1:15">
      <c r="A1" s="34" t="s">
        <v>186</v>
      </c>
      <c r="B1" s="33" t="s">
        <v>174</v>
      </c>
      <c r="C1" s="35" t="s">
        <v>243</v>
      </c>
      <c r="D1" s="36" t="s">
        <v>244</v>
      </c>
      <c r="E1" s="36" t="s">
        <v>245</v>
      </c>
      <c r="F1" s="36" t="s">
        <v>246</v>
      </c>
      <c r="G1" s="36" t="s">
        <v>247</v>
      </c>
      <c r="H1" s="36" t="s">
        <v>248</v>
      </c>
      <c r="I1" s="36" t="s">
        <v>249</v>
      </c>
      <c r="J1" s="36" t="s">
        <v>250</v>
      </c>
      <c r="K1" s="36" t="s">
        <v>251</v>
      </c>
      <c r="L1" s="36" t="s">
        <v>252</v>
      </c>
      <c r="M1" s="36" t="s">
        <v>253</v>
      </c>
      <c r="N1" s="37" t="s">
        <v>254</v>
      </c>
    </row>
    <row r="2" spans="1:15">
      <c r="A2" s="68"/>
      <c r="B2" s="61"/>
      <c r="C2" s="65"/>
      <c r="D2" s="62"/>
      <c r="E2" s="61"/>
      <c r="F2" s="61"/>
      <c r="G2" s="61"/>
      <c r="H2" s="61"/>
      <c r="I2" s="61"/>
      <c r="J2" s="61"/>
      <c r="K2" s="61"/>
      <c r="L2" s="61"/>
      <c r="M2" s="61"/>
      <c r="N2" s="66"/>
      <c r="O2" s="60"/>
    </row>
    <row r="3" spans="1:15">
      <c r="A3" s="421" t="s">
        <v>371</v>
      </c>
      <c r="B3" s="63"/>
      <c r="C3" s="67"/>
      <c r="D3" s="62"/>
      <c r="E3" s="61"/>
      <c r="F3" s="61"/>
      <c r="G3" s="61"/>
      <c r="H3" s="61"/>
      <c r="I3" s="61"/>
      <c r="J3" s="61"/>
      <c r="K3" s="61"/>
      <c r="L3" s="61"/>
      <c r="M3" s="61"/>
      <c r="N3" s="66"/>
      <c r="O3" s="60"/>
    </row>
    <row r="4" spans="1:15" outlineLevel="1">
      <c r="A4" s="69" t="s">
        <v>372</v>
      </c>
      <c r="B4" s="62"/>
      <c r="C4" s="423">
        <v>3000</v>
      </c>
      <c r="D4" s="424">
        <f t="shared" ref="D4:N4" si="0">C4</f>
        <v>3000</v>
      </c>
      <c r="E4" s="424">
        <f t="shared" si="0"/>
        <v>3000</v>
      </c>
      <c r="F4" s="424">
        <f t="shared" si="0"/>
        <v>3000</v>
      </c>
      <c r="G4" s="424">
        <f t="shared" si="0"/>
        <v>3000</v>
      </c>
      <c r="H4" s="424">
        <f t="shared" si="0"/>
        <v>3000</v>
      </c>
      <c r="I4" s="424">
        <f t="shared" si="0"/>
        <v>3000</v>
      </c>
      <c r="J4" s="424">
        <f t="shared" si="0"/>
        <v>3000</v>
      </c>
      <c r="K4" s="424">
        <f t="shared" si="0"/>
        <v>3000</v>
      </c>
      <c r="L4" s="424">
        <f t="shared" si="0"/>
        <v>3000</v>
      </c>
      <c r="M4" s="424">
        <f t="shared" si="0"/>
        <v>3000</v>
      </c>
      <c r="N4" s="425">
        <f t="shared" si="0"/>
        <v>3000</v>
      </c>
    </row>
    <row r="5" spans="1:15" outlineLevel="1">
      <c r="A5" s="69" t="s">
        <v>373</v>
      </c>
      <c r="B5" s="62"/>
      <c r="C5" s="423">
        <v>1250</v>
      </c>
      <c r="D5" s="424">
        <v>1250</v>
      </c>
      <c r="E5" s="424">
        <v>1250</v>
      </c>
      <c r="F5" s="424">
        <v>1250</v>
      </c>
      <c r="G5" s="424">
        <v>1250</v>
      </c>
      <c r="H5" s="424">
        <v>1250</v>
      </c>
      <c r="I5" s="424">
        <v>1250</v>
      </c>
      <c r="J5" s="424">
        <v>1250</v>
      </c>
      <c r="K5" s="424">
        <v>1250</v>
      </c>
      <c r="L5" s="424">
        <v>1250</v>
      </c>
      <c r="M5" s="424">
        <v>1250</v>
      </c>
      <c r="N5" s="425">
        <v>1250</v>
      </c>
    </row>
    <row r="6" spans="1:15" outlineLevel="1">
      <c r="A6" s="69" t="s">
        <v>374</v>
      </c>
      <c r="B6" s="62"/>
      <c r="C6" s="423">
        <v>16000</v>
      </c>
      <c r="D6" s="424"/>
      <c r="E6" s="424"/>
      <c r="F6" s="424"/>
      <c r="G6" s="424"/>
      <c r="H6" s="424"/>
      <c r="I6" s="424"/>
      <c r="J6" s="424"/>
      <c r="K6" s="424"/>
      <c r="L6" s="424"/>
      <c r="M6" s="424"/>
      <c r="N6" s="425"/>
    </row>
    <row r="7" spans="1:15" ht="16.5" thickBot="1">
      <c r="A7" s="70" t="s">
        <v>375</v>
      </c>
      <c r="B7" s="64"/>
      <c r="C7" s="426">
        <f>SUM(C4:C6)</f>
        <v>20250</v>
      </c>
      <c r="D7" s="426">
        <f t="shared" ref="D7:N7" si="1">SUM(D4:D5)</f>
        <v>4250</v>
      </c>
      <c r="E7" s="426">
        <f t="shared" si="1"/>
        <v>4250</v>
      </c>
      <c r="F7" s="426">
        <f t="shared" si="1"/>
        <v>4250</v>
      </c>
      <c r="G7" s="426">
        <f t="shared" si="1"/>
        <v>4250</v>
      </c>
      <c r="H7" s="426">
        <f t="shared" si="1"/>
        <v>4250</v>
      </c>
      <c r="I7" s="426">
        <f t="shared" si="1"/>
        <v>4250</v>
      </c>
      <c r="J7" s="426">
        <f t="shared" si="1"/>
        <v>4250</v>
      </c>
      <c r="K7" s="426">
        <f t="shared" si="1"/>
        <v>4250</v>
      </c>
      <c r="L7" s="426">
        <f t="shared" si="1"/>
        <v>4250</v>
      </c>
      <c r="M7" s="426">
        <f t="shared" si="1"/>
        <v>4250</v>
      </c>
      <c r="N7" s="426">
        <f t="shared" si="1"/>
        <v>4250</v>
      </c>
    </row>
    <row r="8" spans="1:15">
      <c r="A8" s="71"/>
      <c r="B8" s="61"/>
      <c r="C8" s="423"/>
      <c r="D8" s="427"/>
      <c r="E8" s="427"/>
      <c r="F8" s="427"/>
      <c r="G8" s="427"/>
      <c r="H8" s="427"/>
      <c r="I8" s="427"/>
      <c r="J8" s="427"/>
      <c r="K8" s="427"/>
      <c r="L8" s="427"/>
      <c r="M8" s="427"/>
      <c r="N8" s="425"/>
    </row>
    <row r="9" spans="1:15">
      <c r="A9" s="421" t="s">
        <v>376</v>
      </c>
      <c r="B9" s="63"/>
      <c r="C9" s="423"/>
      <c r="D9" s="427"/>
      <c r="E9" s="427"/>
      <c r="F9" s="427"/>
      <c r="G9" s="427"/>
      <c r="H9" s="427"/>
      <c r="I9" s="427"/>
      <c r="J9" s="427"/>
      <c r="K9" s="427"/>
      <c r="L9" s="427"/>
      <c r="M9" s="427"/>
      <c r="N9" s="425"/>
    </row>
    <row r="10" spans="1:15" outlineLevel="1">
      <c r="A10" s="69" t="s">
        <v>377</v>
      </c>
      <c r="B10" s="62"/>
      <c r="C10" s="423">
        <v>30000</v>
      </c>
      <c r="D10" s="424">
        <v>0</v>
      </c>
      <c r="E10" s="424">
        <v>30000</v>
      </c>
      <c r="F10" s="424">
        <v>0</v>
      </c>
      <c r="G10" s="424">
        <v>30000</v>
      </c>
      <c r="H10" s="424">
        <v>0</v>
      </c>
      <c r="I10" s="424">
        <v>30000</v>
      </c>
      <c r="J10" s="424">
        <v>0</v>
      </c>
      <c r="K10" s="424">
        <v>30000</v>
      </c>
      <c r="L10" s="424">
        <v>0</v>
      </c>
      <c r="M10" s="424">
        <v>0</v>
      </c>
      <c r="N10" s="425">
        <v>0</v>
      </c>
    </row>
    <row r="11" spans="1:15" outlineLevel="1">
      <c r="A11" s="69" t="s">
        <v>378</v>
      </c>
      <c r="B11" s="62"/>
      <c r="C11" s="423">
        <v>12500</v>
      </c>
      <c r="D11" s="424">
        <v>0</v>
      </c>
      <c r="E11" s="424">
        <v>0</v>
      </c>
      <c r="F11" s="424">
        <v>12500</v>
      </c>
      <c r="G11" s="424">
        <v>0</v>
      </c>
      <c r="H11" s="424">
        <v>0</v>
      </c>
      <c r="I11" s="424">
        <v>12500</v>
      </c>
      <c r="J11" s="424">
        <v>0</v>
      </c>
      <c r="K11" s="424">
        <v>0</v>
      </c>
      <c r="L11" s="424">
        <v>12500</v>
      </c>
      <c r="M11" s="424">
        <v>0</v>
      </c>
      <c r="N11" s="425">
        <v>0</v>
      </c>
    </row>
    <row r="12" spans="1:15" ht="16.5" thickBot="1">
      <c r="A12" s="70" t="s">
        <v>379</v>
      </c>
      <c r="B12" s="64"/>
      <c r="C12" s="426">
        <f t="shared" ref="C12:N12" si="2">SUM(C10:C11)</f>
        <v>42500</v>
      </c>
      <c r="D12" s="428">
        <f t="shared" si="2"/>
        <v>0</v>
      </c>
      <c r="E12" s="428">
        <f t="shared" si="2"/>
        <v>30000</v>
      </c>
      <c r="F12" s="428">
        <f t="shared" si="2"/>
        <v>12500</v>
      </c>
      <c r="G12" s="428">
        <f t="shared" si="2"/>
        <v>30000</v>
      </c>
      <c r="H12" s="428">
        <f t="shared" si="2"/>
        <v>0</v>
      </c>
      <c r="I12" s="428">
        <f t="shared" si="2"/>
        <v>42500</v>
      </c>
      <c r="J12" s="428">
        <f t="shared" si="2"/>
        <v>0</v>
      </c>
      <c r="K12" s="428">
        <f t="shared" si="2"/>
        <v>30000</v>
      </c>
      <c r="L12" s="428">
        <f t="shared" si="2"/>
        <v>12500</v>
      </c>
      <c r="M12" s="428">
        <f t="shared" si="2"/>
        <v>0</v>
      </c>
      <c r="N12" s="429">
        <f t="shared" si="2"/>
        <v>0</v>
      </c>
    </row>
    <row r="13" spans="1:15">
      <c r="A13" s="418"/>
      <c r="B13" s="420"/>
      <c r="C13" s="424"/>
      <c r="D13" s="424"/>
      <c r="E13" s="424"/>
      <c r="F13" s="424"/>
      <c r="G13" s="424"/>
      <c r="H13" s="424"/>
      <c r="I13" s="424"/>
      <c r="J13" s="424"/>
      <c r="K13" s="424"/>
      <c r="L13" s="424"/>
      <c r="M13" s="424"/>
      <c r="N13" s="432"/>
    </row>
    <row r="14" spans="1:15">
      <c r="A14" s="419"/>
      <c r="B14" s="421"/>
      <c r="C14" s="424"/>
      <c r="D14" s="424"/>
      <c r="E14" s="424"/>
      <c r="F14" s="424"/>
      <c r="G14" s="424"/>
      <c r="H14" s="424"/>
      <c r="I14" s="424"/>
      <c r="J14" s="424"/>
      <c r="K14" s="424"/>
      <c r="L14" s="424"/>
      <c r="M14" s="424"/>
      <c r="N14" s="425"/>
    </row>
    <row r="15" spans="1:15">
      <c r="A15" s="421" t="s">
        <v>380</v>
      </c>
      <c r="B15" s="421"/>
      <c r="C15" s="424"/>
      <c r="D15" s="424"/>
      <c r="E15" s="424"/>
      <c r="F15" s="424"/>
      <c r="G15" s="424"/>
      <c r="H15" s="424"/>
      <c r="I15" s="424"/>
      <c r="J15" s="424"/>
      <c r="K15" s="424"/>
      <c r="L15" s="424"/>
      <c r="M15" s="424"/>
      <c r="N15" s="425"/>
    </row>
    <row r="16" spans="1:15">
      <c r="A16" s="422" t="s">
        <v>381</v>
      </c>
      <c r="B16" s="421"/>
      <c r="C16" s="424">
        <v>40000</v>
      </c>
      <c r="D16" s="424"/>
      <c r="E16" s="424"/>
      <c r="F16" s="424"/>
      <c r="G16" s="424"/>
      <c r="H16" s="424"/>
      <c r="I16" s="424"/>
      <c r="J16" s="424"/>
      <c r="K16" s="424"/>
      <c r="L16" s="424"/>
      <c r="M16" s="424"/>
      <c r="N16" s="425"/>
    </row>
    <row r="17" spans="1:14">
      <c r="A17" s="73"/>
      <c r="B17" s="47"/>
      <c r="C17" s="430"/>
      <c r="D17" s="430"/>
      <c r="E17" s="430"/>
      <c r="F17" s="430"/>
      <c r="G17" s="430"/>
      <c r="H17" s="430"/>
      <c r="I17" s="430"/>
      <c r="J17" s="430"/>
      <c r="K17" s="430"/>
      <c r="L17" s="430"/>
      <c r="M17" s="430"/>
      <c r="N17" s="433"/>
    </row>
    <row r="18" spans="1:14">
      <c r="A18" s="431" t="s">
        <v>382</v>
      </c>
      <c r="B18" s="40"/>
      <c r="C18" s="414">
        <f>+C7+C12+C16</f>
        <v>102750</v>
      </c>
      <c r="D18" s="414">
        <f t="shared" ref="D18:N18" si="3">+D7+D12</f>
        <v>4250</v>
      </c>
      <c r="E18" s="414">
        <f t="shared" si="3"/>
        <v>34250</v>
      </c>
      <c r="F18" s="414">
        <f t="shared" si="3"/>
        <v>16750</v>
      </c>
      <c r="G18" s="414">
        <f t="shared" si="3"/>
        <v>34250</v>
      </c>
      <c r="H18" s="414">
        <f t="shared" si="3"/>
        <v>4250</v>
      </c>
      <c r="I18" s="414">
        <f t="shared" si="3"/>
        <v>46750</v>
      </c>
      <c r="J18" s="414">
        <f t="shared" si="3"/>
        <v>4250</v>
      </c>
      <c r="K18" s="414">
        <f t="shared" si="3"/>
        <v>34250</v>
      </c>
      <c r="L18" s="414">
        <f t="shared" si="3"/>
        <v>16750</v>
      </c>
      <c r="M18" s="414">
        <f t="shared" si="3"/>
        <v>4250</v>
      </c>
      <c r="N18" s="381">
        <f t="shared" si="3"/>
        <v>4250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fb1b34fd-b7d1-4b9c-aa8c-de9ec69704c7">
      <UserInfo>
        <DisplayName>George Cook</DisplayName>
        <AccountId>19</AccountId>
        <AccountType/>
      </UserInfo>
    </SharedWithUsers>
    <lcf76f155ced4ddcb4097134ff3c332f xmlns="6d8c189e-8b3b-46b2-a282-5f3f6f5775fe">
      <Terms xmlns="http://schemas.microsoft.com/office/infopath/2007/PartnerControls"/>
    </lcf76f155ced4ddcb4097134ff3c332f>
    <TaxCatchAll xmlns="fb1b34fd-b7d1-4b9c-aa8c-de9ec69704c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0A90F9D35C0645A2669CED8D121B7C" ma:contentTypeVersion="10" ma:contentTypeDescription="Create a new document." ma:contentTypeScope="" ma:versionID="ba22e724fd5274df0def6e612f334ffe">
  <xsd:schema xmlns:xsd="http://www.w3.org/2001/XMLSchema" xmlns:xs="http://www.w3.org/2001/XMLSchema" xmlns:p="http://schemas.microsoft.com/office/2006/metadata/properties" xmlns:ns2="6d8c189e-8b3b-46b2-a282-5f3f6f5775fe" xmlns:ns3="fb1b34fd-b7d1-4b9c-aa8c-de9ec69704c7" targetNamespace="http://schemas.microsoft.com/office/2006/metadata/properties" ma:root="true" ma:fieldsID="d72aed2ab913adc1d874f3c82365f038" ns2:_="" ns3:_="">
    <xsd:import namespace="6d8c189e-8b3b-46b2-a282-5f3f6f5775fe"/>
    <xsd:import namespace="fb1b34fd-b7d1-4b9c-aa8c-de9ec69704c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8c189e-8b3b-46b2-a282-5f3f6f5775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ac79c19-be21-4da3-aaa1-1b628b5329e9"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b1b34fd-b7d1-4b9c-aa8c-de9ec69704c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f89ac1a-0439-46ac-9fee-8b6dbaf334cd}" ma:internalName="TaxCatchAll" ma:showField="CatchAllData" ma:web="fb1b34fd-b7d1-4b9c-aa8c-de9ec69704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D64A38F-36A9-4320-9566-CD9F7FC00D7A}"/>
</file>

<file path=customXml/itemProps2.xml><?xml version="1.0" encoding="utf-8"?>
<ds:datastoreItem xmlns:ds="http://schemas.openxmlformats.org/officeDocument/2006/customXml" ds:itemID="{7A729FAE-14BF-48D6-83D4-361399CF7D1A}"/>
</file>

<file path=customXml/itemProps3.xml><?xml version="1.0" encoding="utf-8"?>
<ds:datastoreItem xmlns:ds="http://schemas.openxmlformats.org/officeDocument/2006/customXml" ds:itemID="{B997C765-FFCF-43FD-841D-BC9C5D1AA76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Raghav Aggarwal</dc:creator>
  <cp:keywords/>
  <dc:description/>
  <cp:lastModifiedBy/>
  <cp:revision/>
  <dcterms:created xsi:type="dcterms:W3CDTF">2022-12-01T01:45:35Z</dcterms:created>
  <dcterms:modified xsi:type="dcterms:W3CDTF">2023-03-06T01:21:55Z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0x010100F30A90F9D35C0645A2669CED8D121B7C</vt:lpwstr>
  </property>
</Properties>
</file>